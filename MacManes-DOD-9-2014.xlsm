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00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0" yWindow="0" windowWidth="51120" windowHeight="2834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7" i="6" l="1"/>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I27"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3" i="12"/>
  <c r="L24" i="12"/>
  <c r="I18" i="12"/>
  <c r="I17" i="12"/>
  <c r="I15" i="12"/>
  <c r="I16" i="12"/>
  <c r="I11" i="12"/>
  <c r="I12"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<sst xmlns="http://schemas.openxmlformats.org/spreadsheetml/2006/main" count="551" uniqueCount="197">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</sst>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P59"/>
  <sheetViews>
    <sheetView tabSelected="1" workbookViewId="0">
      <selection activeCell="K37" sqref="K37"/>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2</v>
      </c>
      <c r="G11" s="24" t="s">
        <v>61</v>
      </c>
      <c r="H11" s="7">
        <f>$E11/9*$F11</f>
        <v>16855.555555555555</v>
      </c>
      <c r="I11" s="90">
        <f t="shared" ref="I11:K18" si="1">H11*(1+$B11)</f>
        <v>17361.222222222223</v>
      </c>
      <c r="J11" s="90">
        <f t="shared" si="1"/>
        <v>17882.058888888889</v>
      </c>
      <c r="K11" s="90">
        <f t="shared" si="1"/>
        <v>18418.520655555556</v>
      </c>
      <c r="L11" s="7">
        <f>SUM( $I$11:$K$11)</f>
        <v>53661.801766666664</v>
      </c>
      <c r="M11" s="7"/>
      <c r="N11" s="29" t="s">
        <v>102</v>
      </c>
      <c r="O11" s="29" t="s">
        <v>89</v>
      </c>
    </row>
    <row r="12" spans="1:16">
      <c r="A12" s="6" t="s">
        <v>110</v>
      </c>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v>17595</v>
      </c>
      <c r="L21" s="71">
        <f>SUM( $I$21:$K$21)</f>
        <v>17595</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25021.299990330637</v>
      </c>
      <c r="L23" s="68">
        <f>SUM( $I$23:$K$23)</f>
        <v>39231.299985636768</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f t="shared" si="2"/>
        <v>0</v>
      </c>
      <c r="J27" s="32">
        <f t="shared" si="2"/>
        <v>0</v>
      </c>
      <c r="K27" s="32">
        <f t="shared" si="2"/>
        <v>0</v>
      </c>
      <c r="L27" s="71">
        <f>SUM( $I$27:$K$27)</f>
        <v>0</v>
      </c>
      <c r="N27" s="72" t="s">
        <v>102</v>
      </c>
      <c r="O27" s="72" t="s">
        <v>88</v>
      </c>
      <c r="P27" s="160"/>
    </row>
    <row r="28" spans="1:16">
      <c r="A28" s="73"/>
      <c r="B28" s="73"/>
      <c r="C28" s="74"/>
      <c r="D28" s="70" t="s">
        <v>147</v>
      </c>
      <c r="E28" s="71"/>
      <c r="F28" s="71"/>
      <c r="G28" s="75" t="s">
        <v>20</v>
      </c>
      <c r="H28" s="75">
        <v>0</v>
      </c>
      <c r="I28" s="32">
        <v>4500</v>
      </c>
      <c r="J28" s="32">
        <f t="shared" si="2"/>
        <v>4634.9999969825149</v>
      </c>
      <c r="K28" s="32">
        <f t="shared" si="2"/>
        <v>4774.0499937839804</v>
      </c>
      <c r="L28" s="71">
        <f>SUM( $I$28:$K$28)</f>
        <v>13909.049990766496</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48213.870639670175</v>
      </c>
      <c r="L29" s="48">
        <f>SUM( $I$29:$K$29)</f>
        <v>106802.15174306993</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7223.0703870654106</v>
      </c>
      <c r="J30" s="71">
        <f>(SUMIF($O10:$O28,"FF",J10:J28)*J5) + (SUMIF($O10:$O28,"PF",J10:J28)*J6) + (SUMIF($O10:$O28,"PD",J10:J28)*J7)</f>
        <v>7439.7624983159449</v>
      </c>
      <c r="K30" s="71">
        <f>(SUMIF($O10:$O28,"FF",K10:K28)*K5) + (SUMIF($O10:$O28,"PF",K10:K28)*K6) + (SUMIF($O10:$O28,"PD",K10:K28)*K7)</f>
        <v>7662.9553728931533</v>
      </c>
      <c r="L30" s="81">
        <f>SUM( $I$30:$K$30)</f>
        <v>22325.788258274508</v>
      </c>
      <c r="N30" s="42" t="s">
        <v>102</v>
      </c>
    </row>
    <row r="31" spans="1:16" ht="26.25" customHeight="1">
      <c r="A31" s="47"/>
      <c r="B31" s="47"/>
      <c r="C31" s="48"/>
      <c r="D31" s="66" t="s">
        <v>71</v>
      </c>
      <c r="E31" s="49"/>
      <c r="F31" s="49"/>
      <c r="G31" s="48"/>
      <c r="H31" s="48"/>
      <c r="I31" s="48">
        <f>SUM(I29+I30)</f>
        <v>36084.29260928763</v>
      </c>
      <c r="J31" s="48">
        <f>SUM(J29+J30)</f>
        <v>37166.821379493485</v>
      </c>
      <c r="K31" s="48">
        <f>SUM(K29+K30)</f>
        <v>55876.826012563324</v>
      </c>
      <c r="L31" s="48">
        <f>SUM( $I$31:$K$31)</f>
        <v>129127.94000134444</v>
      </c>
      <c r="M31" s="48"/>
      <c r="N31" s="53"/>
      <c r="O31" s="53"/>
      <c r="P31" s="157"/>
    </row>
    <row r="32" spans="1:16">
      <c r="A32" s="39" t="s">
        <v>105</v>
      </c>
      <c r="B32" s="39"/>
      <c r="C32" s="40" t="s">
        <v>72</v>
      </c>
      <c r="G32" s="80">
        <v>721100</v>
      </c>
      <c r="H32" s="80">
        <v>0</v>
      </c>
      <c r="I32" s="90">
        <v>0</v>
      </c>
      <c r="J32" s="90">
        <v>0</v>
      </c>
      <c r="K32" s="90">
        <v>5338</v>
      </c>
      <c r="L32" s="40">
        <f>SUM( $I$32:$K$32)</f>
        <v>5338</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c r="J34" s="90">
        <v>2000</v>
      </c>
      <c r="K34" s="90">
        <v>2000</v>
      </c>
      <c r="L34" s="40">
        <f>SUM( $I$34:$K$34)</f>
        <v>4000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58500</v>
      </c>
      <c r="J36" s="90">
        <v>53500</v>
      </c>
      <c r="K36" s="90">
        <v>32000</v>
      </c>
      <c r="L36" s="40">
        <f>SUM( $I$36:$K$36)</f>
        <v>144000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94584.29260928763</v>
      </c>
      <c r="J47" s="48">
        <f>SUM(J31:J41,J43:J46)</f>
        <v>94466.821379493485</v>
      </c>
      <c r="K47" s="48">
        <f>SUM(K31:K41,K43:K46)</f>
        <v>97014.826012563324</v>
      </c>
      <c r="L47" s="48">
        <f>SUM( $I$47:$K$47)</f>
        <v>286065.94000134442</v>
      </c>
      <c r="M47" s="48"/>
      <c r="N47" s="53"/>
      <c r="O47" s="53"/>
      <c r="P47" s="157"/>
    </row>
    <row r="48" spans="1:16" s="108" customFormat="1" ht="15.75" customHeight="1">
      <c r="D48" s="108" t="s">
        <v>11</v>
      </c>
      <c r="E48" s="109"/>
      <c r="F48" s="109"/>
      <c r="H48" s="108">
        <f>SUMIF($N$10:$N$46,"Y",H10:H46)</f>
        <v>16855.555555555555</v>
      </c>
      <c r="I48" s="108">
        <f>SUMIF($N$10:$N$46,"Y",I10:I46)</f>
        <v>94584.29260928763</v>
      </c>
      <c r="J48" s="108">
        <f>SUMIF($N$10:$N$46,"Y",J10:J46)</f>
        <v>94466.821379493485</v>
      </c>
      <c r="K48" s="108">
        <f>SUMIF($N$10:$N$46,"Y",K10:K46)</f>
        <v>91676.826012563324</v>
      </c>
      <c r="L48" s="108">
        <f>SUM( $I$48:$K$48)</f>
        <v>280727.94000134442</v>
      </c>
      <c r="N48" s="109"/>
      <c r="O48" s="109"/>
      <c r="P48" s="162"/>
    </row>
    <row r="49" spans="1:16" ht="28" customHeight="1">
      <c r="C49" s="40" t="s">
        <v>77</v>
      </c>
      <c r="G49" s="80"/>
      <c r="H49" s="40">
        <f>H4*H48</f>
        <v>0</v>
      </c>
      <c r="I49" s="40">
        <f>I4*I48</f>
        <v>44927.538425645311</v>
      </c>
      <c r="J49" s="40">
        <f>J4*J48</f>
        <v>44871.739592193269</v>
      </c>
      <c r="K49" s="40">
        <f>K4*K48</f>
        <v>43546.491809531115</v>
      </c>
      <c r="L49" s="40">
        <f>SUM( $I$49:$K$49)</f>
        <v>133345.76982736969</v>
      </c>
    </row>
    <row r="50" spans="1:16" ht="32" customHeight="1">
      <c r="A50" s="48"/>
      <c r="B50" s="48"/>
      <c r="C50" s="48"/>
      <c r="D50" s="48" t="s">
        <v>12</v>
      </c>
      <c r="E50" s="49"/>
      <c r="F50" s="49"/>
      <c r="G50" s="48"/>
      <c r="H50" s="48">
        <f>SUM(H49+H47)</f>
        <v>0</v>
      </c>
      <c r="I50" s="48">
        <f>SUM(I49+I47)</f>
        <v>139511.83103493293</v>
      </c>
      <c r="J50" s="48">
        <f>SUM(J49+J47)</f>
        <v>139338.56097168676</v>
      </c>
      <c r="K50" s="48">
        <f>SUM(K49+K47)</f>
        <v>140561.31782209442</v>
      </c>
      <c r="L50" s="48">
        <f>SUM( $I$50:$K$50)</f>
        <v>419411.70982871414</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139511.83103493293</v>
      </c>
      <c r="J53" s="48">
        <f>SUM(J52+J51+J50)</f>
        <v>139338.56097168676</v>
      </c>
      <c r="K53" s="48">
        <f>SUM(K52+K51+K50)</f>
        <v>140561.31782209442</v>
      </c>
      <c r="L53" s="48">
        <f>SUM( $I$53:$K$53)</f>
        <v>419411.70982871414</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8</xdr:row>
                    <xdr:rowOff>431800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2014-09-19T11:28:12Z</dcterms:modified>
</cp:coreProperties>
</file>