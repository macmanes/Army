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H:\"/>
    </mc:Choice>
  </mc:AlternateContent>
  <workbookProtection workbookAlgorithmName="SHA-512" workbookHashValue="4leemQBOWoQFP7kUxzNSY+eFj64Sgu/iRT91hBF+lJWhb0JSIjOgsoH5etpxssQrFHCOmETQmKN02mvA+gw6tQ==" workbookSaltValue="VDOygy+vpzvZfTMe1IWpJA==" workbookSpinCount="100000" lockStructure="1"/>
  <bookViews>
    <workbookView xWindow="0" yWindow="0" windowWidth="17640" windowHeight="8472"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functionGroups builtInGroupCount="18"/>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H47" i="6" l="1"/>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J28" i="12"/>
  <c r="J27" i="12"/>
  <c r="K27" i="12"/>
  <c r="I26" i="12"/>
  <c r="J26" i="12"/>
  <c r="K26" i="12"/>
  <c r="L26" i="12"/>
  <c r="I25" i="12"/>
  <c r="J25" i="12"/>
  <c r="I24" i="12"/>
  <c r="J24" i="12"/>
  <c r="K24"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3" i="12"/>
  <c r="L24" i="12"/>
  <c r="I18" i="12"/>
  <c r="I17" i="12"/>
  <c r="I15" i="12"/>
  <c r="I16" i="12"/>
  <c r="I11" i="12"/>
  <c r="I12"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shape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shape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shapeId="0">
      <text>
        <r>
          <rPr>
            <sz val="8"/>
            <color indexed="81"/>
            <rFont val="Tahoma"/>
            <family val="2"/>
          </rPr>
          <t xml:space="preserve">Will be used to inflate staff and non-AAUP faculty salary.  (You will enter the AAUP faculty inflator on the sponsor tab).
</t>
        </r>
      </text>
    </comment>
    <comment ref="B17" authorId="0" shape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shape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shape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<sst xmlns="http://schemas.openxmlformats.org/spreadsheetml/2006/main" count="551" uniqueCount="197">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</sst>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5">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5">
    <cellStyle name="Comma" xfId="1" builtinId="3"/>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22860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800" b="0" i="0" u="none" strike="noStrike" baseline="0">
                  <a:solidFill>
                    <a:srgbClr val="000000"/>
                  </a:solidFill>
                  <a:latin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xdr:row>
          <xdr:rowOff>129540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800" b="1" i="0" u="none" strike="noStrike" baseline="0">
                  <a:solidFill>
                    <a:srgbClr val="000000"/>
                  </a:solidFill>
                  <a:latin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22860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60960</xdr:rowOff>
        </xdr:from>
        <xdr:to>
          <xdr:col>0</xdr:col>
          <xdr:colOff>1463040</xdr:colOff>
          <xdr:row>14</xdr:row>
          <xdr:rowOff>327660</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800" b="1" i="0" u="none" strike="noStrike" baseline="0">
                  <a:solidFill>
                    <a:srgbClr val="000000"/>
                  </a:solidFill>
                  <a:latin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xmlns:a14="http://schemas.microsoft.com/office/drawing/2010/main" spid="_x0000_s11265"/>
            </a:ext>
          </a:extLst>
        </xdr:cNvPr>
        <xdr:cNvSpPr/>
      </xdr:nvSpPr>
      <xdr:spPr>
        <a:xfrm>
          <a:off x="0" y="0"/>
          <a:ext cx="0" cy="0"/>
        </a:xfrm>
        <a:prstGeom prst="rect">
          <a:avLst/>
        </a:prstGeom>
      </xdr:spPr>
    </xdr:sp>
    <xdr:clientData/>
  </xdr:twoCellAnchor>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xmlns:a14="http://schemas.microsoft.com/office/drawing/2010/main" spid="_x0000_s11268"/>
            </a:ext>
          </a:extLst>
        </xdr:cNvPr>
        <xdr:cNvSpPr/>
      </xdr:nvSpPr>
      <xdr:spPr>
        <a:xfrm>
          <a:off x="0" y="0"/>
          <a:ext cx="0" cy="0"/>
        </a:xfrm>
        <a:prstGeom prst="rect">
          <a:avLst/>
        </a:prstGeom>
      </xdr:spPr>
    </xdr:sp>
    <xdr:clientData/>
  </xdr:twoCellAnchor>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xmlns:a14="http://schemas.microsoft.com/office/drawing/2010/main" spid="_x0000_s11269"/>
            </a:ext>
          </a:extLst>
        </xdr:cNvPr>
        <xdr:cNvSpPr/>
      </xdr:nvSpPr>
      <xdr:spPr>
        <a:xfrm>
          <a:off x="0" y="0"/>
          <a:ext cx="0" cy="0"/>
        </a:xfrm>
        <a:prstGeom prst="rect">
          <a:avLst/>
        </a:prstGeom>
      </xdr:spPr>
    </xdr:sp>
    <xdr:clientData/>
  </xdr:twoCellAnchor>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xmlns:a14="http://schemas.microsoft.com/office/drawing/2010/main" spid="_x0000_s11270"/>
            </a:ext>
          </a:extLst>
        </xdr:cNvPr>
        <xdr:cNvSpPr/>
      </xdr:nvSpPr>
      <xdr:spPr>
        <a:xfrm>
          <a:off x="0" y="0"/>
          <a:ext cx="0" cy="0"/>
        </a:xfrm>
        <a:prstGeom prst="rect">
          <a:avLst/>
        </a:prstGeom>
      </xdr:spPr>
    </xdr:sp>
    <xdr:clientData/>
  </xdr:twoCellAnchor>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xmlns:a14="http://schemas.microsoft.com/office/drawing/2010/main" spid="_x0000_s11271"/>
            </a:ext>
          </a:extLst>
        </xdr:cNvPr>
        <xdr:cNvSpPr/>
      </xdr:nvSpPr>
      <xdr:spPr>
        <a:xfrm>
          <a:off x="0" y="0"/>
          <a:ext cx="0" cy="0"/>
        </a:xfrm>
        <a:prstGeom prst="rect">
          <a:avLst/>
        </a:prstGeom>
      </xdr:spPr>
    </xdr:sp>
    <xdr:clientData/>
  </xdr:twoCellAnchor>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xmlns:a14="http://schemas.microsoft.com/office/drawing/2010/main" spid="_x0000_s11272"/>
            </a:ext>
          </a:extLst>
        </xdr:cNvPr>
        <xdr:cNvSpPr/>
      </xdr:nvSpPr>
      <xdr:spPr>
        <a:xfrm>
          <a:off x="0" y="0"/>
          <a:ext cx="0" cy="0"/>
        </a:xfrm>
        <a:prstGeom prst="rect">
          <a:avLst/>
        </a:prstGeom>
      </xdr:spPr>
    </xdr:sp>
    <xdr:clientData/>
  </xdr:twoCellAnchor>
  <xdr:twoCellAnchor editAs="oneCell">
    <xdr:from>
      <xdr:col>2</xdr:col>
      <xdr:colOff>12700</xdr:colOff>
      <xdr:row>20</xdr:row>
      <xdr:rowOff>63500</xdr:rowOff>
    </xdr:from>
    <xdr:to>
      <xdr:col>5</xdr:col>
      <xdr:colOff>241300</xdr:colOff>
      <xdr:row>23</xdr:row>
      <xdr:rowOff>12700</xdr:rowOff>
    </xdr:to>
    <xdr:pic>
      <xdr:nvPicPr>
        <xdr:cNvPr id="2" name="cmdCreateExce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3619500"/>
          <a:ext cx="2552700" cy="4445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twoCellAnchor editAs="oneCell">
    <xdr:from>
      <xdr:col>2</xdr:col>
      <xdr:colOff>88900</xdr:colOff>
      <xdr:row>5</xdr:row>
      <xdr:rowOff>63500</xdr:rowOff>
    </xdr:from>
    <xdr:to>
      <xdr:col>5</xdr:col>
      <xdr:colOff>177800</xdr:colOff>
      <xdr:row>8</xdr:row>
      <xdr:rowOff>50800</xdr:rowOff>
    </xdr:to>
    <xdr:pic>
      <xdr:nvPicPr>
        <xdr:cNvPr id="3" name="lblInstruct"/>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0200" y="1143000"/>
          <a:ext cx="2413000" cy="4826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twoCellAnchor editAs="oneCell">
    <xdr:from>
      <xdr:col>2</xdr:col>
      <xdr:colOff>63500</xdr:colOff>
      <xdr:row>9</xdr:row>
      <xdr:rowOff>38100</xdr:rowOff>
    </xdr:from>
    <xdr:to>
      <xdr:col>5</xdr:col>
      <xdr:colOff>215900</xdr:colOff>
      <xdr:row>14</xdr:row>
      <xdr:rowOff>50800</xdr:rowOff>
    </xdr:to>
    <xdr:pic>
      <xdr:nvPicPr>
        <xdr:cNvPr id="4" name="lstTabs"/>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74800" y="1778000"/>
          <a:ext cx="2476500" cy="8382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twoCellAnchor editAs="oneCell">
    <xdr:from>
      <xdr:col>2</xdr:col>
      <xdr:colOff>76200</xdr:colOff>
      <xdr:row>15</xdr:row>
      <xdr:rowOff>139700</xdr:rowOff>
    </xdr:from>
    <xdr:to>
      <xdr:col>5</xdr:col>
      <xdr:colOff>317500</xdr:colOff>
      <xdr:row>19</xdr:row>
      <xdr:rowOff>25400</xdr:rowOff>
    </xdr:to>
    <xdr:pic>
      <xdr:nvPicPr>
        <xdr:cNvPr id="5" name="Label1"/>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87500" y="2870200"/>
          <a:ext cx="2565400" cy="5461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twoCellAnchor editAs="oneCell">
    <xdr:from>
      <xdr:col>2</xdr:col>
      <xdr:colOff>88900</xdr:colOff>
      <xdr:row>24</xdr:row>
      <xdr:rowOff>127000</xdr:rowOff>
    </xdr:from>
    <xdr:to>
      <xdr:col>5</xdr:col>
      <xdr:colOff>317500</xdr:colOff>
      <xdr:row>27</xdr:row>
      <xdr:rowOff>127000</xdr:rowOff>
    </xdr:to>
    <xdr:pic>
      <xdr:nvPicPr>
        <xdr:cNvPr id="6" name="Label2"/>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00200" y="4343400"/>
          <a:ext cx="2552700" cy="4953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twoCellAnchor editAs="oneCell">
    <xdr:from>
      <xdr:col>0</xdr:col>
      <xdr:colOff>406400</xdr:colOff>
      <xdr:row>1</xdr:row>
      <xdr:rowOff>88900</xdr:rowOff>
    </xdr:from>
    <xdr:to>
      <xdr:col>7</xdr:col>
      <xdr:colOff>368300</xdr:colOff>
      <xdr:row>3</xdr:row>
      <xdr:rowOff>228600</xdr:rowOff>
    </xdr:to>
    <xdr:pic>
      <xdr:nvPicPr>
        <xdr:cNvPr id="7" name="Label3"/>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6400" y="254000"/>
          <a:ext cx="5194300" cy="4699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3_Document1.doc"/><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dimension ref="A1:G25"/>
  <sheetViews>
    <sheetView workbookViewId="0">
      <selection activeCell="B7" sqref="B7"/>
    </sheetView>
  </sheetViews>
  <sheetFormatPr defaultColWidth="11" defaultRowHeight="14.4"/>
  <cols>
    <col min="1" max="1" width="21" style="95" customWidth="1"/>
    <col min="2" max="2" width="31.88671875" style="97" bestFit="1" customWidth="1"/>
    <col min="3" max="3" width="4.109375" style="1" customWidth="1"/>
    <col min="4" max="4" width="11" style="1" customWidth="1"/>
    <col min="5" max="5" width="14.5546875" style="1" customWidth="1"/>
    <col min="6" max="6" width="11" style="1" customWidth="1"/>
    <col min="7" max="7" width="17" style="1" customWidth="1"/>
    <col min="8" max="8" width="13.10937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8.8">
      <c r="A13" s="94" t="s">
        <v>158</v>
      </c>
      <c r="B13" s="104">
        <v>0.03</v>
      </c>
    </row>
    <row r="15" spans="1:2">
      <c r="A15" s="94" t="s">
        <v>41</v>
      </c>
    </row>
    <row r="16" spans="1:2">
      <c r="A16" s="95" t="s">
        <v>54</v>
      </c>
      <c r="B16" s="101">
        <v>42005</v>
      </c>
    </row>
    <row r="17" spans="1:7" ht="22.95" customHeight="1">
      <c r="A17" s="95" t="s">
        <v>148</v>
      </c>
      <c r="B17" s="100">
        <v>3</v>
      </c>
    </row>
    <row r="18" spans="1:7">
      <c r="A18" s="95" t="s">
        <v>57</v>
      </c>
      <c r="B18" s="100">
        <v>2</v>
      </c>
    </row>
    <row r="19" spans="1:7">
      <c r="A19" s="95" t="s">
        <v>58</v>
      </c>
      <c r="B19" s="100">
        <v>2</v>
      </c>
      <c r="G19" s="16"/>
    </row>
    <row r="20" spans="1:7" ht="28.8">
      <c r="A20" s="95" t="s">
        <v>149</v>
      </c>
      <c r="B20" s="100">
        <v>0</v>
      </c>
    </row>
    <row r="21" spans="1:7" ht="28.8">
      <c r="A21" s="95" t="s">
        <v>150</v>
      </c>
      <c r="B21" s="100">
        <v>0</v>
      </c>
    </row>
    <row r="23" spans="1:7">
      <c r="A23" s="94" t="s">
        <v>152</v>
      </c>
      <c r="B23" s="181" t="s">
        <v>102</v>
      </c>
    </row>
    <row r="24" spans="1:7">
      <c r="B24" s="105"/>
    </row>
    <row r="25" spans="1:7">
      <c r="A25" s="96"/>
      <c r="B25" s="98"/>
    </row>
  </sheetData>
  <sheetProtection algorithmName="SHA-512" hashValue="57nmTsc4A2zKS84rP+Vz0A7hxc4VTXL1NqAGZXvmmNJBmitfz+i5MPz1CaHxRHy9x1az3JU4z45VeMbq61FWtg==" saltValue="6o/iE7CYlcKStJ2Q9h92Sg==" spinCount="100000"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pageSetUpPr fitToPage="1"/>
  </sheetPr>
  <dimension ref="A1:P59"/>
  <sheetViews>
    <sheetView tabSelected="1" workbookViewId="0">
      <selection activeCell="I32" sqref="I32"/>
    </sheetView>
  </sheetViews>
  <sheetFormatPr defaultColWidth="11" defaultRowHeight="14.4"/>
  <cols>
    <col min="1" max="1" width="5.109375" style="40" customWidth="1"/>
    <col min="2" max="2" width="5.88671875" style="40" customWidth="1"/>
    <col min="3" max="3" width="3.88671875" style="40" customWidth="1"/>
    <col min="4" max="4" width="26.88671875" style="40" customWidth="1"/>
    <col min="5" max="5" width="10.109375" style="41" customWidth="1"/>
    <col min="6" max="6" width="6.5546875" style="41" bestFit="1" customWidth="1"/>
    <col min="7" max="7" width="8.109375" style="40" customWidth="1"/>
    <col min="8" max="8" width="8.109375" style="40" hidden="1" customWidth="1"/>
    <col min="9" max="12" width="11" style="40" customWidth="1"/>
    <col min="13" max="13" width="1.5546875" style="40" customWidth="1"/>
    <col min="14" max="14" width="4.5546875" style="42" customWidth="1"/>
    <col min="15" max="15" width="4.109375" style="42" customWidth="1"/>
    <col min="16" max="16" width="33" style="155" customWidth="1"/>
    <col min="17" max="16384" width="11" style="40"/>
  </cols>
  <sheetData>
    <row r="1" spans="1:16" ht="12" customHeight="1">
      <c r="A1" s="39" t="str">
        <f>VersionNo</f>
        <v>PropBud v1.14</v>
      </c>
      <c r="B1" s="39"/>
      <c r="C1" s="39"/>
    </row>
    <row r="2" spans="1:16" s="46" customFormat="1" ht="12">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19.95" customHeight="1">
      <c r="A8" s="54" t="s">
        <v>39</v>
      </c>
      <c r="B8" s="55"/>
      <c r="C8" s="48"/>
      <c r="D8" s="110"/>
      <c r="E8" s="49"/>
      <c r="F8" s="49"/>
      <c r="G8" s="51" t="s">
        <v>151</v>
      </c>
      <c r="H8" s="51"/>
      <c r="I8" s="52"/>
      <c r="J8" s="52">
        <v>2.9999999329447746E-2</v>
      </c>
      <c r="K8" s="52">
        <v>2.9999999329447746E-2</v>
      </c>
      <c r="L8" s="48"/>
      <c r="M8" s="48"/>
      <c r="N8" s="53"/>
      <c r="O8" s="53"/>
      <c r="P8" s="158"/>
    </row>
    <row r="9" spans="1:16" ht="24.6">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6">
      <c r="A12" s="6" t="s">
        <v>110</v>
      </c>
      <c r="B12" s="38">
        <f t="shared" si="0"/>
        <v>0.03</v>
      </c>
      <c r="C12" s="3"/>
      <c r="D12" s="34"/>
      <c r="E12" s="154"/>
      <c r="F12" s="33">
        <v>2</v>
      </c>
      <c r="G12" s="24" t="s">
        <v>62</v>
      </c>
      <c r="H12" s="7">
        <f>$E11/9*$F12</f>
        <v>16855.555555555555</v>
      </c>
      <c r="I12" s="90">
        <f t="shared" si="1"/>
        <v>17361.222222222223</v>
      </c>
      <c r="J12" s="90">
        <f t="shared" si="1"/>
        <v>17882.058888888889</v>
      </c>
      <c r="K12" s="90">
        <f t="shared" si="1"/>
        <v>18418.520655555556</v>
      </c>
      <c r="L12" s="8">
        <f>SUM( $I$12:$K$12)</f>
        <v>53661.801766666664</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v>17595</v>
      </c>
      <c r="L21" s="71">
        <f>SUM( $I$21:$K$21)</f>
        <v>17595</v>
      </c>
      <c r="N21" s="72" t="s">
        <v>102</v>
      </c>
      <c r="O21" s="72" t="s">
        <v>103</v>
      </c>
      <c r="P21" s="160"/>
    </row>
    <row r="22" spans="1:16" s="71" customFormat="1">
      <c r="A22" s="73"/>
      <c r="B22" s="73"/>
      <c r="C22" s="74"/>
      <c r="D22" s="70" t="s">
        <v>145</v>
      </c>
      <c r="H22" s="75">
        <v>0</v>
      </c>
      <c r="I22" s="32">
        <v>7000</v>
      </c>
      <c r="J22" s="32">
        <f t="shared" ref="I22:K28" si="2">I22*(1+J$8)</f>
        <v>7209.9999953061342</v>
      </c>
      <c r="K22" s="32">
        <f t="shared" si="2"/>
        <v>7426.2999903306363</v>
      </c>
      <c r="L22" s="71">
        <f>SUM( $I$22:$K$22)</f>
        <v>21636.299985636771</v>
      </c>
      <c r="N22" s="72" t="s">
        <v>102</v>
      </c>
      <c r="O22" s="72" t="s">
        <v>88</v>
      </c>
      <c r="P22" s="160"/>
    </row>
    <row r="23" spans="1:16" s="71" customFormat="1">
      <c r="A23" s="76"/>
      <c r="B23" s="76"/>
      <c r="C23" s="77"/>
      <c r="D23" s="66" t="s">
        <v>95</v>
      </c>
      <c r="E23" s="68"/>
      <c r="F23" s="68"/>
      <c r="G23" s="78" t="s">
        <v>15</v>
      </c>
      <c r="H23" s="75">
        <v>0</v>
      </c>
      <c r="I23" s="68">
        <f>SUM(I21:I22)</f>
        <v>7000</v>
      </c>
      <c r="J23" s="68">
        <f>SUM(J21:J22)</f>
        <v>7209.9999953061342</v>
      </c>
      <c r="K23" s="68">
        <f>SUM(K21:K22)</f>
        <v>25021.299990330637</v>
      </c>
      <c r="L23" s="68">
        <f>SUM( $I$23:$K$23)</f>
        <v>39231.299985636768</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v>4500</v>
      </c>
      <c r="J27" s="32">
        <f t="shared" si="2"/>
        <v>4634.9999969825149</v>
      </c>
      <c r="K27" s="32">
        <f t="shared" si="2"/>
        <v>4774.0499937839804</v>
      </c>
      <c r="L27" s="71">
        <f>SUM( $I$27:$K$27)</f>
        <v>13909.049990766496</v>
      </c>
      <c r="N27" s="72" t="s">
        <v>102</v>
      </c>
      <c r="O27" s="72" t="s">
        <v>88</v>
      </c>
      <c r="P27" s="160"/>
    </row>
    <row r="28" spans="1:16">
      <c r="A28" s="73"/>
      <c r="B28" s="73"/>
      <c r="C28" s="74"/>
      <c r="D28" s="70" t="s">
        <v>147</v>
      </c>
      <c r="E28" s="71"/>
      <c r="F28" s="71"/>
      <c r="G28" s="75" t="s">
        <v>20</v>
      </c>
      <c r="H28" s="75">
        <v>0</v>
      </c>
      <c r="I28" s="32">
        <v>0</v>
      </c>
      <c r="J28" s="32">
        <f t="shared" si="2"/>
        <v>0</v>
      </c>
      <c r="K28" s="32">
        <f t="shared" si="2"/>
        <v>0</v>
      </c>
      <c r="L28" s="71">
        <f>SUM( $I$28:$K$28)</f>
        <v>0</v>
      </c>
      <c r="N28" s="42" t="s">
        <v>102</v>
      </c>
      <c r="O28" s="42" t="s">
        <v>103</v>
      </c>
    </row>
    <row r="29" spans="1:16">
      <c r="A29" s="47"/>
      <c r="B29" s="47"/>
      <c r="C29" s="48"/>
      <c r="D29" s="66" t="s">
        <v>69</v>
      </c>
      <c r="E29" s="49"/>
      <c r="F29" s="49"/>
      <c r="G29" s="48"/>
      <c r="H29" s="48"/>
      <c r="I29" s="48">
        <f>SUM(I24:I28)+I23+I19</f>
        <v>28861.222222222223</v>
      </c>
      <c r="J29" s="48">
        <f>SUM(J24:J28)+J23+J19</f>
        <v>29727.058881177538</v>
      </c>
      <c r="K29" s="48">
        <f>SUM(K24:K28)+K23+K19</f>
        <v>48213.870639670175</v>
      </c>
      <c r="L29" s="48">
        <f>SUM( $I$29:$K$29)</f>
        <v>106802.15174306993</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2222.3140990692709</v>
      </c>
      <c r="J30" s="71">
        <f>(SUMIF($O10:$O28,"FF",J10:J28)*J5) + (SUMIF($O10:$O28,"PF",J10:J28)*J6) + (SUMIF($O10:$O28,"PD",J10:J28)*J7)</f>
        <v>2288.9835214475747</v>
      </c>
      <c r="K30" s="71">
        <f>(SUMIF($O10:$O28,"FF",K10:K28)*K5) + (SUMIF($O10:$O28,"PF",K10:K28)*K6) + (SUMIF($O10:$O28,"PD",K10:K28)*K7)</f>
        <v>2357.6530264794151</v>
      </c>
      <c r="L30" s="81">
        <f>SUM( $I$30:$K$30)</f>
        <v>6868.9506469962598</v>
      </c>
      <c r="N30" s="42" t="s">
        <v>102</v>
      </c>
    </row>
    <row r="31" spans="1:16" ht="26.25" customHeight="1">
      <c r="A31" s="47"/>
      <c r="B31" s="47"/>
      <c r="C31" s="48"/>
      <c r="D31" s="66" t="s">
        <v>71</v>
      </c>
      <c r="E31" s="49"/>
      <c r="F31" s="49"/>
      <c r="G31" s="48"/>
      <c r="H31" s="48"/>
      <c r="I31" s="48">
        <f>SUM(I29+I30)</f>
        <v>31083.536321291493</v>
      </c>
      <c r="J31" s="48">
        <f>SUM(J29+J30)</f>
        <v>32016.042402625113</v>
      </c>
      <c r="K31" s="48">
        <f>SUM(K29+K30)</f>
        <v>50571.523666149587</v>
      </c>
      <c r="L31" s="48">
        <f>SUM( $I$31:$K$31)</f>
        <v>113671.1023900662</v>
      </c>
      <c r="M31" s="48"/>
      <c r="N31" s="53"/>
      <c r="O31" s="53"/>
      <c r="P31" s="157"/>
    </row>
    <row r="32" spans="1:16">
      <c r="A32" s="39" t="s">
        <v>105</v>
      </c>
      <c r="B32" s="39"/>
      <c r="C32" s="40" t="s">
        <v>72</v>
      </c>
      <c r="G32" s="80">
        <v>721100</v>
      </c>
      <c r="H32" s="80">
        <v>0</v>
      </c>
      <c r="I32" s="90">
        <v>0</v>
      </c>
      <c r="J32" s="90">
        <v>0</v>
      </c>
      <c r="K32" s="90">
        <v>5456</v>
      </c>
      <c r="L32" s="40">
        <f>SUM( $I$32:$K$32)</f>
        <v>5456</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c r="J34" s="90">
        <v>2000</v>
      </c>
      <c r="K34" s="90">
        <v>2000</v>
      </c>
      <c r="L34" s="40">
        <f>SUM( $I$34:$K$34)</f>
        <v>4000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58500</v>
      </c>
      <c r="J36" s="90">
        <v>53500</v>
      </c>
      <c r="K36" s="90">
        <v>32000</v>
      </c>
      <c r="L36" s="40">
        <f>SUM( $I$36:$K$36)</f>
        <v>144000</v>
      </c>
      <c r="N36" s="42" t="s">
        <v>102</v>
      </c>
    </row>
    <row r="37" spans="1:16">
      <c r="A37" s="91" t="s">
        <v>105</v>
      </c>
      <c r="B37" s="91"/>
      <c r="D37" s="40" t="s">
        <v>97</v>
      </c>
      <c r="G37" s="80">
        <v>711200</v>
      </c>
      <c r="H37" s="80">
        <v>0</v>
      </c>
      <c r="I37" s="90">
        <v>0</v>
      </c>
      <c r="J37" s="90">
        <v>1800</v>
      </c>
      <c r="K37" s="90">
        <v>1800</v>
      </c>
      <c r="L37" s="40">
        <f>SUM( $I$37:$K$37)</f>
        <v>3600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89583.536321291496</v>
      </c>
      <c r="J47" s="48">
        <f>SUM(J31:J41,J43:J46)</f>
        <v>89316.042402625113</v>
      </c>
      <c r="K47" s="48">
        <f>SUM(K31:K41,K43:K46)</f>
        <v>91827.523666149587</v>
      </c>
      <c r="L47" s="48">
        <f>SUM( $I$47:$K$47)</f>
        <v>270727.1023900662</v>
      </c>
      <c r="M47" s="48"/>
      <c r="N47" s="53"/>
      <c r="O47" s="53"/>
      <c r="P47" s="157"/>
    </row>
    <row r="48" spans="1:16" s="108" customFormat="1" ht="15.75" customHeight="1">
      <c r="D48" s="108" t="s">
        <v>11</v>
      </c>
      <c r="E48" s="109"/>
      <c r="F48" s="109"/>
      <c r="H48" s="108">
        <f>SUMIF($N$10:$N$46,"Y",H10:H46)</f>
        <v>16855.555555555555</v>
      </c>
      <c r="I48" s="108">
        <f>SUMIF($N$10:$N$46,"Y",I10:I46)</f>
        <v>89583.536321291496</v>
      </c>
      <c r="J48" s="108">
        <f>SUMIF($N$10:$N$46,"Y",J10:J46)</f>
        <v>89316.042402625113</v>
      </c>
      <c r="K48" s="108">
        <f>SUMIF($N$10:$N$46,"Y",K10:K46)</f>
        <v>86371.523666149587</v>
      </c>
      <c r="L48" s="108">
        <f>SUM( $I$48:$K$48)</f>
        <v>265271.1023900662</v>
      </c>
      <c r="N48" s="109"/>
      <c r="O48" s="109"/>
      <c r="P48" s="162"/>
    </row>
    <row r="49" spans="1:16" ht="28.05" customHeight="1">
      <c r="C49" s="40" t="s">
        <v>77</v>
      </c>
      <c r="G49" s="80"/>
      <c r="H49" s="40">
        <f>H4*H48</f>
        <v>0</v>
      </c>
      <c r="I49" s="40">
        <f>I4*I48</f>
        <v>42552.179218653975</v>
      </c>
      <c r="J49" s="40">
        <f>J4*J48</f>
        <v>42425.119608881832</v>
      </c>
      <c r="K49" s="40">
        <f>K4*K48</f>
        <v>41026.473226606657</v>
      </c>
      <c r="L49" s="40">
        <f>SUM( $I$49:$K$49)</f>
        <v>126003.77205414246</v>
      </c>
    </row>
    <row r="50" spans="1:16" ht="31.95" customHeight="1">
      <c r="A50" s="48"/>
      <c r="B50" s="48"/>
      <c r="C50" s="48"/>
      <c r="D50" s="48" t="s">
        <v>12</v>
      </c>
      <c r="E50" s="49"/>
      <c r="F50" s="49"/>
      <c r="G50" s="48"/>
      <c r="H50" s="48">
        <f>SUM(H49+H47)</f>
        <v>0</v>
      </c>
      <c r="I50" s="48">
        <f>SUM(I49+I47)</f>
        <v>132135.71553994546</v>
      </c>
      <c r="J50" s="48">
        <f>SUM(J49+J47)</f>
        <v>131741.16201150694</v>
      </c>
      <c r="K50" s="48">
        <f>SUM(K49+K47)</f>
        <v>132853.99689275626</v>
      </c>
      <c r="L50" s="48">
        <f>SUM( $I$50:$K$50)</f>
        <v>396730.87444420863</v>
      </c>
      <c r="M50" s="48"/>
      <c r="N50" s="53"/>
      <c r="O50" s="53"/>
      <c r="P50" s="157"/>
    </row>
    <row r="51" spans="1:16" ht="28.95" customHeight="1">
      <c r="C51" s="40" t="s">
        <v>14</v>
      </c>
      <c r="E51" s="80"/>
      <c r="F51" s="80"/>
      <c r="L51" s="40">
        <f>SUM( $I$51:$K$51)</f>
        <v>0</v>
      </c>
    </row>
    <row r="52" spans="1:16">
      <c r="C52" s="40" t="s">
        <v>13</v>
      </c>
      <c r="L52" s="40">
        <f>SUM( $I$52:$K$52)</f>
        <v>0</v>
      </c>
    </row>
    <row r="53" spans="1:16" ht="28.95" customHeight="1">
      <c r="A53" s="48"/>
      <c r="B53" s="48"/>
      <c r="C53" s="48"/>
      <c r="D53" s="48" t="s">
        <v>78</v>
      </c>
      <c r="E53" s="49"/>
      <c r="F53" s="49"/>
      <c r="G53" s="48"/>
      <c r="H53" s="48">
        <f>SUM(H52+H51+H50)</f>
        <v>0</v>
      </c>
      <c r="I53" s="48">
        <f>SUM(I52+I51+I50)</f>
        <v>132135.71553994546</v>
      </c>
      <c r="J53" s="48">
        <f>SUM(J52+J51+J50)</f>
        <v>131741.16201150694</v>
      </c>
      <c r="K53" s="48">
        <f>SUM(K52+K51+K50)</f>
        <v>132853.99689275626</v>
      </c>
      <c r="L53" s="48">
        <f>SUM( $I$53:$K$53)</f>
        <v>396730.87444420863</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scale="64" orientation="portrait" horizontalDpi="2400" verticalDpi="2400" r:id="rId1"/>
  <headerFooter alignWithMargins="0">
    <oddHeader>&amp;LConsolidated Sponsor Budget</oddHeader>
    <oddFooter>&amp;L&amp;"Trebuchet MS,Regular"&amp;9Last saved on:  &amp;D &amp;T&amp;R&amp;"Trebuchet MS,Regular"&amp;9&amp;P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9" r:id="rId4" name="Button 39">
              <controlPr defaultSize="0" print="0" autoFill="0" autoPict="0" macro="[0]!ProcessInflationMode">
                <anchor moveWithCells="1">
                  <from>
                    <xdr:col>0</xdr:col>
                    <xdr:colOff>0</xdr:colOff>
                    <xdr:row>30</xdr:row>
                    <xdr:rowOff>22860</xdr:rowOff>
                  </from>
                  <to>
                    <xdr:col>2</xdr:col>
                    <xdr:colOff>190500</xdr:colOff>
                    <xdr:row>30</xdr:row>
                    <xdr:rowOff>266700</xdr:rowOff>
                  </to>
                </anchor>
              </controlPr>
            </control>
          </mc:Choice>
        </mc:AlternateContent>
        <mc:AlternateContent xmlns:mc="http://schemas.openxmlformats.org/markup-compatibility/2006">
          <mc:Choice Requires="x14">
            <control shapeId="5178" r:id="rId5" name="Button 58">
              <controlPr defaultSize="0" print="0" autoFill="0" autoPict="0" macro="[0]!ProcessFacultyInflation">
                <anchor moveWithCells="1">
                  <from>
                    <xdr:col>2</xdr:col>
                    <xdr:colOff>22860</xdr:colOff>
                    <xdr:row>8</xdr:row>
                    <xdr:rowOff>129540</xdr:rowOff>
                  </from>
                  <to>
                    <xdr:col>3</xdr:col>
                    <xdr:colOff>952500</xdr:colOff>
                    <xdr:row>8</xdr:row>
                    <xdr:rowOff>434340</xdr:rowOff>
                  </to>
                </anchor>
              </controlPr>
            </control>
          </mc:Choice>
        </mc:AlternateContent>
        <mc:AlternateContent xmlns:mc="http://schemas.openxmlformats.org/markup-compatibility/2006">
          <mc:Choice Requires="x14">
            <control shapeId="5184" r:id="rId6" name="Button 64">
              <controlPr defaultSize="0" print="0" autoFill="0" autoPict="0" macro="[0]!Module2.ProcessInflationMode">
                <anchor moveWithCells="1">
                  <from>
                    <xdr:col>0</xdr:col>
                    <xdr:colOff>0</xdr:colOff>
                    <xdr:row>30</xdr:row>
                    <xdr:rowOff>22860</xdr:rowOff>
                  </from>
                  <to>
                    <xdr:col>2</xdr:col>
                    <xdr:colOff>190500</xdr:colOff>
                    <xdr:row>30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dimension ref="A1:O46"/>
  <sheetViews>
    <sheetView workbookViewId="0">
      <selection activeCell="A4" sqref="A4"/>
    </sheetView>
  </sheetViews>
  <sheetFormatPr defaultColWidth="11.44140625" defaultRowHeight="14.4"/>
  <cols>
    <col min="1" max="1" width="29" style="116" customWidth="1"/>
    <col min="2" max="5" width="11.44140625" style="116" customWidth="1"/>
    <col min="6" max="6" width="1.5546875" style="117" customWidth="1"/>
    <col min="7" max="7" width="3.88671875" style="118" bestFit="1" customWidth="1"/>
    <col min="8" max="16384" width="11.44140625" style="116"/>
  </cols>
  <sheetData>
    <row r="1" spans="1:15">
      <c r="A1" s="115" t="str">
        <f>VersionNo</f>
        <v>PropBud v1.14</v>
      </c>
    </row>
    <row r="2" spans="1:15" s="64" customFormat="1" ht="22.95"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04999999999999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60960</xdr:rowOff>
                  </from>
                  <to>
                    <xdr:col>0</xdr:col>
                    <xdr:colOff>1463040</xdr:colOff>
                    <xdr:row>14</xdr:row>
                    <xdr:rowOff>327660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dimension ref="A1:O53"/>
  <sheetViews>
    <sheetView topLeftCell="A35" workbookViewId="0">
      <selection activeCell="A51" sqref="A51:O53"/>
    </sheetView>
  </sheetViews>
  <sheetFormatPr defaultColWidth="11.44140625" defaultRowHeight="12.6"/>
  <cols>
    <col min="1" max="1" width="5.109375" customWidth="1"/>
    <col min="2" max="2" width="5.88671875" customWidth="1"/>
    <col min="3" max="3" width="3.88671875" customWidth="1"/>
    <col min="4" max="4" width="26.88671875" customWidth="1"/>
    <col min="5" max="5" width="10.109375" customWidth="1"/>
    <col min="6" max="6" width="6.5546875" customWidth="1"/>
    <col min="7" max="7" width="8.109375" customWidth="1"/>
    <col min="8" max="8" width="0" hidden="1" customWidth="1"/>
    <col min="9" max="12" width="11" customWidth="1"/>
    <col min="13" max="13" width="1.5546875" customWidth="1"/>
    <col min="14" max="14" width="4.5546875" customWidth="1"/>
    <col min="15" max="15" width="4.109375" customWidth="1"/>
  </cols>
  <sheetData>
    <row r="1" spans="1:15" ht="12" customHeight="1">
      <c r="A1" s="18" t="str">
        <f>VersionNo</f>
        <v>PropBud v1.14</v>
      </c>
    </row>
    <row r="2" spans="1:15" ht="13.2">
      <c r="B2" s="43"/>
      <c r="C2" s="43"/>
      <c r="D2" s="43"/>
      <c r="E2" s="44"/>
      <c r="F2" s="44"/>
      <c r="G2" s="45" t="s">
        <v>116</v>
      </c>
      <c r="H2" s="45"/>
      <c r="I2" s="43">
        <v>42005</v>
      </c>
      <c r="J2" s="43">
        <v>42370</v>
      </c>
      <c r="K2" s="43">
        <v>42736</v>
      </c>
      <c r="L2" s="43"/>
      <c r="M2" s="43"/>
      <c r="N2" s="44"/>
      <c r="O2" s="44"/>
    </row>
    <row r="3" spans="1:15" ht="13.2">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ht="14.4">
      <c r="B7" s="51" t="s">
        <v>35</v>
      </c>
      <c r="C7" s="47"/>
      <c r="D7" s="110">
        <v>0.27900001406669617</v>
      </c>
      <c r="E7" s="49"/>
      <c r="F7" s="50"/>
      <c r="G7" s="51" t="s">
        <v>35</v>
      </c>
      <c r="H7" s="51"/>
      <c r="I7" s="52">
        <v>0.27900001406669617</v>
      </c>
      <c r="J7" s="52">
        <v>0.27900001406669617</v>
      </c>
      <c r="K7" s="52">
        <v>0.27900001406669617</v>
      </c>
      <c r="L7" s="52"/>
      <c r="M7" s="48"/>
      <c r="N7" s="53"/>
      <c r="O7" s="53"/>
    </row>
    <row r="8" spans="1:15" ht="14.4">
      <c r="B8" s="55"/>
      <c r="C8" s="48"/>
      <c r="D8" s="110"/>
      <c r="E8" s="49"/>
      <c r="F8" s="49"/>
      <c r="G8" s="51" t="s">
        <v>151</v>
      </c>
      <c r="H8" s="51"/>
      <c r="I8" s="52"/>
      <c r="J8" s="52">
        <v>2.9999999329447746E-2</v>
      </c>
      <c r="K8" s="52">
        <v>2.9999999329447746E-2</v>
      </c>
      <c r="L8" s="48"/>
      <c r="M8" s="48"/>
      <c r="N8" s="53"/>
      <c r="O8" s="53"/>
    </row>
    <row r="9" spans="1:15" ht="24.6">
      <c r="B9" s="56" t="s">
        <v>143</v>
      </c>
      <c r="C9" s="40"/>
      <c r="D9" s="40"/>
      <c r="E9" s="41"/>
      <c r="F9" s="41"/>
      <c r="G9" s="40"/>
      <c r="H9" s="40"/>
      <c r="I9" s="57" t="s">
        <v>100</v>
      </c>
      <c r="J9" s="57" t="s">
        <v>193</v>
      </c>
      <c r="K9" s="57" t="s">
        <v>194</v>
      </c>
      <c r="L9" s="57" t="s">
        <v>59</v>
      </c>
      <c r="M9" s="58"/>
      <c r="N9" s="59" t="s">
        <v>101</v>
      </c>
      <c r="O9" s="59" t="s">
        <v>87</v>
      </c>
    </row>
    <row r="10" spans="1:15" ht="14.4">
      <c r="B10" s="38">
        <v>0</v>
      </c>
      <c r="C10" s="61" t="s">
        <v>60</v>
      </c>
      <c r="D10" s="62"/>
      <c r="E10" s="57" t="s">
        <v>46</v>
      </c>
      <c r="F10" s="57" t="s">
        <v>144</v>
      </c>
      <c r="G10" s="63"/>
      <c r="H10" s="62"/>
      <c r="I10" s="64"/>
      <c r="J10" s="64"/>
      <c r="K10" s="64"/>
      <c r="L10" s="64"/>
      <c r="M10" s="40"/>
      <c r="N10" s="65"/>
      <c r="O10" s="42"/>
    </row>
    <row r="11" spans="1:15" ht="14.4">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ht="14.4">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ht="14.4">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ht="14.4">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ht="14.4">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ht="14.4">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ht="14.4">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ht="14.4">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ht="14.4">
      <c r="B19" s="93"/>
      <c r="C19" s="48"/>
      <c r="D19" s="66" t="s">
        <v>63</v>
      </c>
      <c r="E19" s="67"/>
      <c r="F19" s="67"/>
      <c r="G19" s="68"/>
      <c r="H19" s="68"/>
      <c r="I19" s="48">
        <f>SUM( I11:I18)</f>
        <v>0</v>
      </c>
      <c r="J19" s="48">
        <f>SUM( J11:J18)</f>
        <v>0</v>
      </c>
      <c r="K19" s="48">
        <f>SUM( K11:K18)</f>
        <v>0</v>
      </c>
      <c r="L19" s="48">
        <f>SUM( $I$19:$K$19)</f>
        <v>0</v>
      </c>
      <c r="M19" s="48"/>
      <c r="N19" s="53"/>
      <c r="O19" s="53"/>
    </row>
    <row r="20" spans="2:15" ht="14.4">
      <c r="B20" s="69"/>
      <c r="C20" s="70" t="s">
        <v>64</v>
      </c>
      <c r="D20" s="40"/>
      <c r="E20" s="41"/>
      <c r="F20" s="41"/>
      <c r="G20" s="40"/>
      <c r="H20" s="40"/>
      <c r="I20" s="71"/>
      <c r="J20" s="71"/>
      <c r="K20" s="71"/>
      <c r="L20" s="71">
        <f>SUM( $I$20:$K$20)</f>
        <v>0</v>
      </c>
      <c r="M20" s="71"/>
      <c r="N20" s="72"/>
      <c r="O20" s="72"/>
    </row>
    <row r="21" spans="2:15" ht="14.4">
      <c r="B21" s="73"/>
      <c r="C21" s="74"/>
      <c r="D21" s="70" t="s">
        <v>65</v>
      </c>
      <c r="E21" s="71"/>
      <c r="F21" s="71"/>
      <c r="G21" s="75"/>
      <c r="H21" s="75">
        <v>0</v>
      </c>
      <c r="I21" s="32">
        <f>H21*(1+I$8)</f>
        <v>0</v>
      </c>
      <c r="J21" s="32">
        <f>I21*(1+J$8)</f>
        <v>0</v>
      </c>
      <c r="K21" s="32">
        <f>J21*(1+K$8)</f>
        <v>0</v>
      </c>
      <c r="L21" s="71">
        <f>SUM( $I$21:$K$21)</f>
        <v>0</v>
      </c>
      <c r="M21" s="71"/>
      <c r="N21" s="72" t="s">
        <v>102</v>
      </c>
      <c r="O21" s="72" t="s">
        <v>103</v>
      </c>
    </row>
    <row r="22" spans="2:15" ht="14.4">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ht="14.4">
      <c r="B23" s="76"/>
      <c r="C23" s="77"/>
      <c r="D23" s="66" t="s">
        <v>95</v>
      </c>
      <c r="E23" s="68"/>
      <c r="F23" s="68"/>
      <c r="G23" s="78" t="s">
        <v>15</v>
      </c>
      <c r="H23" s="75">
        <v>0</v>
      </c>
      <c r="I23" s="68">
        <f>SUM(I21:I22)</f>
        <v>0</v>
      </c>
      <c r="J23" s="68">
        <f>SUM(J21:J22)</f>
        <v>0</v>
      </c>
      <c r="K23" s="68">
        <f>SUM(K21:K22)</f>
        <v>0</v>
      </c>
      <c r="L23" s="68">
        <f>SUM( $I$23:$K$23)</f>
        <v>0</v>
      </c>
      <c r="M23" s="68"/>
      <c r="N23" s="79"/>
      <c r="O23" s="79"/>
    </row>
    <row r="24" spans="2:15" ht="14.4">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14.4">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ht="14.4">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ht="14.4">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ht="14.4">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ht="14.4">
      <c r="B29" s="47"/>
      <c r="C29" s="48"/>
      <c r="D29" s="66" t="s">
        <v>69</v>
      </c>
      <c r="E29" s="49"/>
      <c r="F29" s="49"/>
      <c r="G29" s="48"/>
      <c r="H29" s="48"/>
      <c r="I29" s="48">
        <f>SUM(I24:I28)+I23+I19</f>
        <v>0</v>
      </c>
      <c r="J29" s="48">
        <f>SUM(J24:J28)+J23+J19</f>
        <v>0</v>
      </c>
      <c r="K29" s="48">
        <f>SUM(K24:K28)+K23+K19</f>
        <v>0</v>
      </c>
      <c r="L29" s="48">
        <f>SUM( $I$29:$K$29)</f>
        <v>0</v>
      </c>
      <c r="M29" s="48"/>
      <c r="N29" s="53"/>
      <c r="O29" s="53"/>
    </row>
    <row r="30" spans="2:15" ht="14.4">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ht="14.4">
      <c r="B31" s="47"/>
      <c r="C31" s="48"/>
      <c r="D31" s="66" t="s">
        <v>71</v>
      </c>
      <c r="E31" s="49"/>
      <c r="F31" s="49"/>
      <c r="G31" s="48"/>
      <c r="H31" s="48"/>
      <c r="I31" s="48">
        <f>SUM(I29+I30)</f>
        <v>0</v>
      </c>
      <c r="J31" s="48">
        <f>SUM(J29+J30)</f>
        <v>0</v>
      </c>
      <c r="K31" s="48">
        <f>SUM(K29+K30)</f>
        <v>0</v>
      </c>
      <c r="L31" s="48">
        <f>SUM( $I$31:$K$31)</f>
        <v>0</v>
      </c>
      <c r="M31" s="48"/>
      <c r="N31" s="53"/>
      <c r="O31" s="53"/>
    </row>
    <row r="32" spans="2:15" ht="14.4">
      <c r="B32" s="39"/>
      <c r="C32" s="40" t="s">
        <v>72</v>
      </c>
      <c r="D32" s="40"/>
      <c r="E32" s="41"/>
      <c r="F32" s="41"/>
      <c r="G32" s="80">
        <v>721100</v>
      </c>
      <c r="H32" s="80">
        <v>0</v>
      </c>
      <c r="I32" s="90">
        <v>0</v>
      </c>
      <c r="J32" s="90">
        <v>0</v>
      </c>
      <c r="K32" s="90">
        <v>0</v>
      </c>
      <c r="L32" s="40">
        <f>SUM( $I$32:$K$32)</f>
        <v>0</v>
      </c>
      <c r="M32" s="40"/>
      <c r="N32" s="42" t="s">
        <v>106</v>
      </c>
      <c r="O32" s="42"/>
    </row>
    <row r="33" spans="2:15" ht="14.4">
      <c r="B33" s="39"/>
      <c r="C33" s="40" t="s">
        <v>73</v>
      </c>
      <c r="D33" s="40"/>
      <c r="E33" s="41"/>
      <c r="F33" s="41"/>
      <c r="G33" s="80">
        <v>740000</v>
      </c>
      <c r="H33" s="80">
        <v>0</v>
      </c>
      <c r="I33" s="90">
        <v>0</v>
      </c>
      <c r="J33" s="90">
        <v>0</v>
      </c>
      <c r="K33" s="90">
        <v>0</v>
      </c>
      <c r="L33" s="40">
        <f>SUM( $I$33:$K$33)</f>
        <v>0</v>
      </c>
      <c r="M33" s="40"/>
      <c r="N33" s="42" t="s">
        <v>106</v>
      </c>
      <c r="O33" s="42"/>
    </row>
    <row r="34" spans="2:15" ht="14.4">
      <c r="B34" s="91"/>
      <c r="C34" s="40" t="s">
        <v>74</v>
      </c>
      <c r="D34" s="40"/>
      <c r="E34" s="41"/>
      <c r="F34" s="41"/>
      <c r="G34" s="80">
        <v>710000</v>
      </c>
      <c r="H34" s="80">
        <v>0</v>
      </c>
      <c r="I34" s="90">
        <v>0</v>
      </c>
      <c r="J34" s="90">
        <v>0</v>
      </c>
      <c r="K34" s="90">
        <v>0</v>
      </c>
      <c r="L34" s="40">
        <f>SUM( $I$34:$K$34)</f>
        <v>0</v>
      </c>
      <c r="M34" s="40"/>
      <c r="N34" s="42" t="s">
        <v>102</v>
      </c>
      <c r="O34" s="42"/>
    </row>
    <row r="35" spans="2:15" ht="14.4">
      <c r="B35" s="47"/>
      <c r="C35" s="48" t="s">
        <v>75</v>
      </c>
      <c r="D35" s="48"/>
      <c r="E35" s="49"/>
      <c r="F35" s="49"/>
      <c r="G35" s="83"/>
      <c r="H35" s="83"/>
      <c r="I35" s="48"/>
      <c r="J35" s="48"/>
      <c r="K35" s="48"/>
      <c r="L35" s="48">
        <f>SUM( $I$35:$K$35)</f>
        <v>0</v>
      </c>
      <c r="M35" s="48"/>
      <c r="N35" s="53"/>
      <c r="O35" s="53"/>
    </row>
    <row r="36" spans="2:15" ht="14.4">
      <c r="B36" s="91"/>
      <c r="C36" s="40"/>
      <c r="D36" s="40" t="s">
        <v>96</v>
      </c>
      <c r="E36" s="41"/>
      <c r="F36" s="41"/>
      <c r="G36" s="80">
        <v>711200</v>
      </c>
      <c r="H36" s="80">
        <v>0</v>
      </c>
      <c r="I36" s="90">
        <v>0</v>
      </c>
      <c r="J36" s="90">
        <v>0</v>
      </c>
      <c r="K36" s="90">
        <v>0</v>
      </c>
      <c r="L36" s="40">
        <f>SUM( $I$36:$K$36)</f>
        <v>0</v>
      </c>
      <c r="M36" s="40"/>
      <c r="N36" s="42" t="s">
        <v>102</v>
      </c>
      <c r="O36" s="42"/>
    </row>
    <row r="37" spans="2:15" ht="14.4">
      <c r="B37" s="91"/>
      <c r="C37" s="40"/>
      <c r="D37" s="40" t="s">
        <v>97</v>
      </c>
      <c r="E37" s="41"/>
      <c r="F37" s="41"/>
      <c r="G37" s="80">
        <v>711200</v>
      </c>
      <c r="H37" s="80">
        <v>0</v>
      </c>
      <c r="I37" s="90">
        <v>0</v>
      </c>
      <c r="J37" s="90">
        <v>0</v>
      </c>
      <c r="K37" s="90">
        <v>0</v>
      </c>
      <c r="L37" s="40">
        <f>SUM( $I$37:$K$37)</f>
        <v>0</v>
      </c>
      <c r="M37" s="40"/>
      <c r="N37" s="42" t="s">
        <v>102</v>
      </c>
      <c r="O37" s="42"/>
    </row>
    <row r="38" spans="2:15" ht="14.4">
      <c r="B38" s="91"/>
      <c r="C38" s="40"/>
      <c r="D38" s="40" t="s">
        <v>98</v>
      </c>
      <c r="E38" s="41"/>
      <c r="F38" s="41"/>
      <c r="G38" s="80">
        <v>717000</v>
      </c>
      <c r="H38" s="80">
        <v>0</v>
      </c>
      <c r="I38" s="90">
        <v>0</v>
      </c>
      <c r="J38" s="90">
        <v>0</v>
      </c>
      <c r="K38" s="90">
        <v>0</v>
      </c>
      <c r="L38" s="40">
        <f>SUM( $I$38:$K$38)</f>
        <v>0</v>
      </c>
      <c r="M38" s="40"/>
      <c r="N38" s="42" t="s">
        <v>102</v>
      </c>
      <c r="O38" s="42"/>
    </row>
    <row r="39" spans="2:15" ht="14.4">
      <c r="B39" s="92"/>
      <c r="C39" s="40"/>
      <c r="D39" s="40" t="s">
        <v>99</v>
      </c>
      <c r="E39" s="41"/>
      <c r="F39" s="41"/>
      <c r="G39" s="80">
        <v>711200</v>
      </c>
      <c r="H39" s="80">
        <v>0</v>
      </c>
      <c r="I39" s="90">
        <v>0</v>
      </c>
      <c r="J39" s="90">
        <v>0</v>
      </c>
      <c r="K39" s="90">
        <v>0</v>
      </c>
      <c r="L39" s="40">
        <f>SUM( $I$39:$K$39)</f>
        <v>0</v>
      </c>
      <c r="M39" s="40"/>
      <c r="N39" s="42" t="s">
        <v>102</v>
      </c>
      <c r="O39" s="42"/>
    </row>
    <row r="40" spans="2:15" ht="14.4">
      <c r="B40" s="39"/>
      <c r="C40" s="40"/>
      <c r="D40" s="40" t="s">
        <v>50</v>
      </c>
      <c r="E40" s="41"/>
      <c r="F40" s="41"/>
      <c r="G40" s="80"/>
      <c r="H40" s="80">
        <v>0</v>
      </c>
      <c r="I40" s="40">
        <v>0</v>
      </c>
      <c r="J40" s="40">
        <v>0</v>
      </c>
      <c r="K40" s="40">
        <v>0</v>
      </c>
      <c r="L40" s="40">
        <f>SUM( $I$40:$K$40)</f>
        <v>0</v>
      </c>
      <c r="M40" s="40"/>
      <c r="N40" s="42" t="s">
        <v>102</v>
      </c>
      <c r="O40" s="42"/>
    </row>
    <row r="41" spans="2:15" ht="14.4">
      <c r="B41" s="39"/>
      <c r="C41" s="40"/>
      <c r="D41" s="40" t="s">
        <v>51</v>
      </c>
      <c r="E41" s="41"/>
      <c r="F41" s="41"/>
      <c r="G41" s="80"/>
      <c r="H41" s="80">
        <v>0</v>
      </c>
      <c r="I41" s="40">
        <v>0</v>
      </c>
      <c r="J41" s="40">
        <v>0</v>
      </c>
      <c r="K41" s="40">
        <v>0</v>
      </c>
      <c r="L41" s="40">
        <f>SUM( $I$41:$K$41)</f>
        <v>0</v>
      </c>
      <c r="M41" s="40"/>
      <c r="N41" s="42" t="s">
        <v>106</v>
      </c>
      <c r="O41" s="42"/>
    </row>
    <row r="42" spans="2:15" ht="14.4">
      <c r="B42" s="47"/>
      <c r="C42" s="48"/>
      <c r="D42" s="48" t="s">
        <v>49</v>
      </c>
      <c r="E42" s="49"/>
      <c r="F42" s="49"/>
      <c r="G42" s="83">
        <v>730001</v>
      </c>
      <c r="H42" s="83">
        <v>0</v>
      </c>
      <c r="I42" s="48">
        <f>SUM(I40:I41)</f>
        <v>0</v>
      </c>
      <c r="J42" s="48">
        <f>SUM(J40:J41)</f>
        <v>0</v>
      </c>
      <c r="K42" s="48">
        <f>SUM(K40:K41)</f>
        <v>0</v>
      </c>
      <c r="L42" s="48">
        <f>SUM( $I$42:$K$42)</f>
        <v>0</v>
      </c>
      <c r="M42" s="48"/>
      <c r="N42" s="53"/>
      <c r="O42" s="53"/>
    </row>
    <row r="43" spans="2:15" ht="14.4">
      <c r="B43" s="92"/>
      <c r="C43" s="40"/>
      <c r="D43" s="40" t="s">
        <v>5</v>
      </c>
      <c r="E43" s="41"/>
      <c r="F43" s="41"/>
      <c r="G43" s="80">
        <v>717200</v>
      </c>
      <c r="H43" s="80">
        <v>0</v>
      </c>
      <c r="I43" s="90">
        <v>0</v>
      </c>
      <c r="J43" s="90">
        <v>0</v>
      </c>
      <c r="K43" s="90">
        <v>0</v>
      </c>
      <c r="L43" s="40">
        <f>SUM( $I$43:$K$43)</f>
        <v>0</v>
      </c>
      <c r="M43" s="40"/>
      <c r="N43" s="42" t="s">
        <v>102</v>
      </c>
      <c r="O43" s="42"/>
    </row>
    <row r="44" spans="2:15" ht="14.4">
      <c r="B44" s="91"/>
      <c r="C44" s="40"/>
      <c r="D44" s="40" t="s">
        <v>6</v>
      </c>
      <c r="E44" s="41"/>
      <c r="F44" s="41"/>
      <c r="G44" s="80">
        <v>722200</v>
      </c>
      <c r="H44" s="80">
        <v>0</v>
      </c>
      <c r="I44" s="90">
        <v>0</v>
      </c>
      <c r="J44" s="90">
        <v>0</v>
      </c>
      <c r="K44" s="90">
        <v>0</v>
      </c>
      <c r="L44" s="40">
        <f>SUM( $I$44:$K$44)</f>
        <v>0</v>
      </c>
      <c r="M44" s="40"/>
      <c r="N44" s="42" t="s">
        <v>102</v>
      </c>
      <c r="O44" s="42"/>
    </row>
    <row r="45" spans="2:15" ht="14.4">
      <c r="B45" s="91"/>
      <c r="C45" s="40"/>
      <c r="D45" s="40" t="s">
        <v>52</v>
      </c>
      <c r="E45" s="41"/>
      <c r="F45" s="41"/>
      <c r="G45" s="40"/>
      <c r="H45" s="80">
        <v>0</v>
      </c>
      <c r="I45" s="90">
        <v>0</v>
      </c>
      <c r="J45" s="90">
        <v>0</v>
      </c>
      <c r="K45" s="90">
        <v>0</v>
      </c>
      <c r="L45" s="40">
        <f>SUM( $I$45:$K$45)</f>
        <v>0</v>
      </c>
      <c r="M45" s="40"/>
      <c r="N45" s="65" t="s">
        <v>102</v>
      </c>
      <c r="O45" s="42"/>
    </row>
    <row r="46" spans="2:15" ht="14.4">
      <c r="B46" s="91"/>
      <c r="C46" s="40"/>
      <c r="D46" s="40" t="s">
        <v>53</v>
      </c>
      <c r="E46" s="41"/>
      <c r="F46" s="41"/>
      <c r="G46" s="40"/>
      <c r="H46" s="80">
        <v>0</v>
      </c>
      <c r="I46" s="90">
        <v>0</v>
      </c>
      <c r="J46" s="90">
        <v>0</v>
      </c>
      <c r="K46" s="90">
        <v>0</v>
      </c>
      <c r="L46" s="40">
        <f>SUM( $I$46:$K$46)</f>
        <v>0</v>
      </c>
      <c r="M46" s="40"/>
      <c r="N46" s="42" t="s">
        <v>106</v>
      </c>
      <c r="O46" s="42"/>
    </row>
    <row r="47" spans="2:15" ht="14.4">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ht="13.2">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ht="14.4">
      <c r="B49" s="40"/>
      <c r="C49" s="40" t="s">
        <v>77</v>
      </c>
      <c r="D49" s="40"/>
      <c r="E49" s="41"/>
      <c r="F49" s="41"/>
      <c r="G49" s="80"/>
      <c r="H49" s="40">
        <f>H4*H48</f>
        <v>0</v>
      </c>
      <c r="I49" s="40">
        <f>I4*I48</f>
        <v>0</v>
      </c>
      <c r="J49" s="40">
        <f>J4*J48</f>
        <v>0</v>
      </c>
      <c r="K49" s="40">
        <f>K4*K48</f>
        <v>0</v>
      </c>
      <c r="L49" s="40">
        <f>SUM( $I$49:$K$49)</f>
        <v>0</v>
      </c>
      <c r="M49" s="40"/>
      <c r="N49" s="42"/>
      <c r="O49" s="42"/>
    </row>
    <row r="50" spans="1:15" ht="14.4">
      <c r="B50" s="48"/>
      <c r="C50" s="48"/>
      <c r="D50" s="48" t="s">
        <v>195</v>
      </c>
      <c r="E50" s="49"/>
      <c r="F50" s="49"/>
      <c r="G50" s="48"/>
      <c r="H50" s="48">
        <f>SUM(H49+H47)</f>
        <v>0</v>
      </c>
      <c r="I50" s="48">
        <f>SUM(I49+I47)</f>
        <v>0</v>
      </c>
      <c r="J50" s="48">
        <f>SUM(J49+J47)</f>
        <v>0</v>
      </c>
      <c r="K50" s="48">
        <f>SUM(K49+K47)</f>
        <v>0</v>
      </c>
      <c r="L50" s="48">
        <f>SUM( $I$50:$K$50)</f>
        <v>0</v>
      </c>
      <c r="M50" s="48"/>
      <c r="N50" s="53"/>
      <c r="O50" s="53"/>
    </row>
    <row r="51" spans="1:15" ht="14.4">
      <c r="A51" s="12"/>
      <c r="B51" s="27"/>
      <c r="C51" s="12" t="s">
        <v>79</v>
      </c>
      <c r="D51" s="12"/>
      <c r="E51" s="12"/>
      <c r="F51" s="12"/>
      <c r="G51" s="12"/>
      <c r="H51" s="12"/>
      <c r="I51" s="90">
        <v>0</v>
      </c>
      <c r="J51" s="90">
        <v>0</v>
      </c>
      <c r="K51" s="90">
        <v>0</v>
      </c>
      <c r="L51" s="40">
        <f>SUM( I51:K51)</f>
        <v>0</v>
      </c>
      <c r="M51" s="12"/>
      <c r="N51" s="12"/>
      <c r="O51" s="12"/>
    </row>
    <row r="52" spans="1:15" ht="14.4">
      <c r="A52" s="12"/>
      <c r="B52" s="27"/>
      <c r="C52" s="12" t="s">
        <v>80</v>
      </c>
      <c r="D52" s="12"/>
      <c r="E52" s="12"/>
      <c r="F52" s="12"/>
      <c r="G52" s="12"/>
      <c r="H52" s="12"/>
      <c r="I52" s="90">
        <v>0</v>
      </c>
      <c r="J52" s="90">
        <v>0</v>
      </c>
      <c r="K52" s="90">
        <v>0</v>
      </c>
      <c r="L52" s="40">
        <f>SUM( I52:K52)</f>
        <v>0</v>
      </c>
      <c r="M52" s="12"/>
      <c r="N52" s="12"/>
      <c r="O52" s="12"/>
    </row>
    <row r="53" spans="1:15" ht="14.4">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dimension ref="A1:O50"/>
  <sheetViews>
    <sheetView workbookViewId="0">
      <selection activeCell="B2" sqref="B2:O50"/>
    </sheetView>
  </sheetViews>
  <sheetFormatPr defaultColWidth="11.44140625" defaultRowHeight="12.6"/>
  <cols>
    <col min="2" max="2" width="5.88671875" customWidth="1"/>
    <col min="3" max="3" width="3.88671875" customWidth="1"/>
    <col min="4" max="4" width="26.88671875" customWidth="1"/>
    <col min="5" max="5" width="10.109375" customWidth="1"/>
    <col min="6" max="6" width="6.5546875" bestFit="1" customWidth="1"/>
    <col min="7" max="7" width="8.109375" customWidth="1"/>
    <col min="8" max="8" width="0" hidden="1" customWidth="1"/>
    <col min="9" max="12" width="11" customWidth="1"/>
    <col min="13" max="13" width="1.5546875" customWidth="1"/>
    <col min="14" max="14" width="4.5546875" customWidth="1"/>
    <col min="15" max="15" width="4.109375" customWidth="1"/>
  </cols>
  <sheetData>
    <row r="1" spans="1:15" ht="12" customHeight="1">
      <c r="A1" s="18" t="str">
        <f>VersionNo</f>
        <v>PropBud v1.14</v>
      </c>
    </row>
    <row r="2" spans="1:15" ht="13.2">
      <c r="B2" s="43"/>
      <c r="C2" s="43"/>
      <c r="D2" s="43"/>
      <c r="E2" s="44"/>
      <c r="F2" s="44"/>
      <c r="G2" s="45" t="s">
        <v>116</v>
      </c>
      <c r="H2" s="45"/>
      <c r="I2" s="43">
        <v>42005</v>
      </c>
      <c r="J2" s="43">
        <v>42370</v>
      </c>
      <c r="K2" s="43">
        <v>42736</v>
      </c>
      <c r="L2" s="43"/>
      <c r="M2" s="43"/>
      <c r="N2" s="44"/>
      <c r="O2" s="44"/>
    </row>
    <row r="3" spans="1:15" ht="22.95"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ht="14.4">
      <c r="B7" s="51" t="s">
        <v>35</v>
      </c>
      <c r="C7" s="47"/>
      <c r="D7" s="110">
        <v>0.27900001406669617</v>
      </c>
      <c r="E7" s="49"/>
      <c r="F7" s="50"/>
      <c r="G7" s="51" t="s">
        <v>35</v>
      </c>
      <c r="H7" s="51"/>
      <c r="I7" s="52">
        <v>0.27900001406669617</v>
      </c>
      <c r="J7" s="52">
        <v>0.27900001406669617</v>
      </c>
      <c r="K7" s="52">
        <v>0.27900001406669617</v>
      </c>
      <c r="L7" s="52"/>
      <c r="M7" s="48"/>
      <c r="N7" s="53"/>
      <c r="O7" s="53"/>
    </row>
    <row r="8" spans="1:15" ht="14.4">
      <c r="B8" s="55"/>
      <c r="C8" s="48"/>
      <c r="D8" s="110"/>
      <c r="E8" s="49"/>
      <c r="F8" s="49"/>
      <c r="G8" s="51" t="s">
        <v>151</v>
      </c>
      <c r="H8" s="51"/>
      <c r="I8" s="52"/>
      <c r="J8" s="52">
        <v>2.9999999329447746E-2</v>
      </c>
      <c r="K8" s="52">
        <v>2.9999999329447746E-2</v>
      </c>
      <c r="L8" s="48"/>
      <c r="M8" s="48"/>
      <c r="N8" s="53"/>
      <c r="O8" s="53"/>
    </row>
    <row r="9" spans="1:15" ht="24.6">
      <c r="B9" s="56" t="s">
        <v>143</v>
      </c>
      <c r="C9" s="40"/>
      <c r="D9" s="40"/>
      <c r="E9" s="41"/>
      <c r="F9" s="41"/>
      <c r="G9" s="40"/>
      <c r="H9" s="40"/>
      <c r="I9" s="57" t="s">
        <v>100</v>
      </c>
      <c r="J9" s="57" t="s">
        <v>193</v>
      </c>
      <c r="K9" s="57" t="s">
        <v>194</v>
      </c>
      <c r="L9" s="57" t="s">
        <v>59</v>
      </c>
      <c r="M9" s="58"/>
      <c r="N9" s="59" t="s">
        <v>101</v>
      </c>
      <c r="O9" s="59" t="s">
        <v>87</v>
      </c>
    </row>
    <row r="10" spans="1:15" ht="14.4">
      <c r="B10" s="38">
        <v>0</v>
      </c>
      <c r="C10" s="61" t="s">
        <v>60</v>
      </c>
      <c r="D10" s="62"/>
      <c r="E10" s="57" t="s">
        <v>46</v>
      </c>
      <c r="F10" s="57" t="s">
        <v>144</v>
      </c>
      <c r="G10" s="63"/>
      <c r="H10" s="62"/>
      <c r="I10" s="64"/>
      <c r="J10" s="64"/>
      <c r="K10" s="64"/>
      <c r="L10" s="64"/>
      <c r="M10" s="40"/>
      <c r="N10" s="65"/>
      <c r="O10" s="42"/>
    </row>
    <row r="11" spans="1:15" ht="14.4">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ht="14.4">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ht="14.4">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ht="14.4">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ht="14.4">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ht="14.4">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ht="14.4">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ht="14.4">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ht="14.4">
      <c r="B19" s="93"/>
      <c r="C19" s="48"/>
      <c r="D19" s="66" t="s">
        <v>63</v>
      </c>
      <c r="E19" s="67"/>
      <c r="F19" s="67"/>
      <c r="G19" s="68"/>
      <c r="H19" s="68"/>
      <c r="I19" s="48">
        <f>SUM( I11:I18)</f>
        <v>0</v>
      </c>
      <c r="J19" s="48">
        <f>SUM( J11:J18)</f>
        <v>0</v>
      </c>
      <c r="K19" s="48">
        <f>SUM( K11:K18)</f>
        <v>0</v>
      </c>
      <c r="L19" s="48">
        <f>SUM( $I$19:$K$19)</f>
        <v>0</v>
      </c>
      <c r="M19" s="48"/>
      <c r="N19" s="53"/>
      <c r="O19" s="53"/>
    </row>
    <row r="20" spans="2:15" ht="14.4">
      <c r="B20" s="69"/>
      <c r="C20" s="70" t="s">
        <v>64</v>
      </c>
      <c r="D20" s="40"/>
      <c r="E20" s="41"/>
      <c r="F20" s="41"/>
      <c r="G20" s="40"/>
      <c r="H20" s="40"/>
      <c r="I20" s="71"/>
      <c r="J20" s="71"/>
      <c r="K20" s="71"/>
      <c r="L20" s="71">
        <f>SUM( $I$20:$K$20)</f>
        <v>0</v>
      </c>
      <c r="M20" s="71"/>
      <c r="N20" s="72"/>
      <c r="O20" s="72"/>
    </row>
    <row r="21" spans="2:15" ht="14.4">
      <c r="B21" s="73"/>
      <c r="C21" s="74"/>
      <c r="D21" s="70" t="s">
        <v>65</v>
      </c>
      <c r="E21" s="71"/>
      <c r="F21" s="71"/>
      <c r="G21" s="75"/>
      <c r="H21" s="75">
        <v>0</v>
      </c>
      <c r="I21" s="32">
        <f>H21*(1+I$8)</f>
        <v>0</v>
      </c>
      <c r="J21" s="32">
        <f>I21*(1+J$8)</f>
        <v>0</v>
      </c>
      <c r="K21" s="32">
        <f>J21*(1+K$8)</f>
        <v>0</v>
      </c>
      <c r="L21" s="71">
        <f>SUM( $I$21:$K$21)</f>
        <v>0</v>
      </c>
      <c r="M21" s="71"/>
      <c r="N21" s="72" t="s">
        <v>102</v>
      </c>
      <c r="O21" s="72" t="s">
        <v>103</v>
      </c>
    </row>
    <row r="22" spans="2:15" ht="14.4">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ht="14.4">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ht="14.4">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ht="14.4">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ht="14.4">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ht="14.4">
      <c r="B29" s="47"/>
      <c r="C29" s="48"/>
      <c r="D29" s="66" t="s">
        <v>69</v>
      </c>
      <c r="E29" s="49"/>
      <c r="F29" s="49"/>
      <c r="G29" s="48"/>
      <c r="H29" s="48"/>
      <c r="I29" s="48">
        <f>SUM(I24:I28)+I23+I19</f>
        <v>0</v>
      </c>
      <c r="J29" s="48">
        <f>SUM(J24:J28)+J23+J19</f>
        <v>0</v>
      </c>
      <c r="K29" s="48">
        <f>SUM(K24:K28)+K23+K19</f>
        <v>0</v>
      </c>
      <c r="L29" s="48">
        <f>SUM( $I$29:$K$29)</f>
        <v>0</v>
      </c>
      <c r="M29" s="48"/>
      <c r="N29" s="53"/>
      <c r="O29" s="53"/>
    </row>
    <row r="30" spans="2:15" ht="14.4">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ht="14.4">
      <c r="B31" s="47"/>
      <c r="C31" s="48"/>
      <c r="D31" s="66" t="s">
        <v>71</v>
      </c>
      <c r="E31" s="49"/>
      <c r="F31" s="49"/>
      <c r="G31" s="48"/>
      <c r="H31" s="48"/>
      <c r="I31" s="48">
        <f>SUM(I29+I30)</f>
        <v>0</v>
      </c>
      <c r="J31" s="48">
        <f>SUM(J29+J30)</f>
        <v>0</v>
      </c>
      <c r="K31" s="48">
        <f>SUM(K29+K30)</f>
        <v>0</v>
      </c>
      <c r="L31" s="48">
        <f>SUM( $I$31:$K$31)</f>
        <v>0</v>
      </c>
      <c r="M31" s="48"/>
      <c r="N31" s="53"/>
      <c r="O31" s="53"/>
    </row>
    <row r="32" spans="2:15" ht="14.4">
      <c r="B32" s="39"/>
      <c r="C32" s="40" t="s">
        <v>72</v>
      </c>
      <c r="D32" s="40"/>
      <c r="E32" s="41"/>
      <c r="F32" s="41"/>
      <c r="G32" s="80">
        <v>721100</v>
      </c>
      <c r="H32" s="80">
        <v>0</v>
      </c>
      <c r="I32" s="90">
        <v>0</v>
      </c>
      <c r="J32" s="90">
        <v>0</v>
      </c>
      <c r="K32" s="90">
        <v>0</v>
      </c>
      <c r="L32" s="40">
        <f>SUM( $I$32:$K$32)</f>
        <v>0</v>
      </c>
      <c r="M32" s="40"/>
      <c r="N32" s="42" t="s">
        <v>106</v>
      </c>
      <c r="O32" s="42"/>
    </row>
    <row r="33" spans="2:15" ht="14.4">
      <c r="B33" s="39"/>
      <c r="C33" s="40" t="s">
        <v>73</v>
      </c>
      <c r="D33" s="40"/>
      <c r="E33" s="41"/>
      <c r="F33" s="41"/>
      <c r="G33" s="80">
        <v>740000</v>
      </c>
      <c r="H33" s="80">
        <v>0</v>
      </c>
      <c r="I33" s="90">
        <v>0</v>
      </c>
      <c r="J33" s="90">
        <v>0</v>
      </c>
      <c r="K33" s="90">
        <v>0</v>
      </c>
      <c r="L33" s="40">
        <f>SUM( $I$33:$K$33)</f>
        <v>0</v>
      </c>
      <c r="M33" s="40"/>
      <c r="N33" s="42" t="s">
        <v>106</v>
      </c>
      <c r="O33" s="42"/>
    </row>
    <row r="34" spans="2:15" ht="14.4">
      <c r="B34" s="91"/>
      <c r="C34" s="40" t="s">
        <v>74</v>
      </c>
      <c r="D34" s="40"/>
      <c r="E34" s="41"/>
      <c r="F34" s="41"/>
      <c r="G34" s="80">
        <v>710000</v>
      </c>
      <c r="H34" s="80">
        <v>0</v>
      </c>
      <c r="I34" s="90">
        <v>0</v>
      </c>
      <c r="J34" s="90">
        <v>0</v>
      </c>
      <c r="K34" s="90">
        <v>0</v>
      </c>
      <c r="L34" s="40">
        <f>SUM( $I$34:$K$34)</f>
        <v>0</v>
      </c>
      <c r="M34" s="40"/>
      <c r="N34" s="42" t="s">
        <v>102</v>
      </c>
      <c r="O34" s="42"/>
    </row>
    <row r="35" spans="2:15" ht="14.4">
      <c r="B35" s="47"/>
      <c r="C35" s="48" t="s">
        <v>75</v>
      </c>
      <c r="D35" s="48"/>
      <c r="E35" s="49"/>
      <c r="F35" s="49"/>
      <c r="G35" s="83"/>
      <c r="H35" s="83"/>
      <c r="I35" s="48"/>
      <c r="J35" s="48"/>
      <c r="K35" s="48"/>
      <c r="L35" s="48">
        <f>SUM( $I$35:$K$35)</f>
        <v>0</v>
      </c>
      <c r="M35" s="48"/>
      <c r="N35" s="53"/>
      <c r="O35" s="53"/>
    </row>
    <row r="36" spans="2:15" ht="14.4">
      <c r="B36" s="91"/>
      <c r="C36" s="40"/>
      <c r="D36" s="40" t="s">
        <v>96</v>
      </c>
      <c r="E36" s="41"/>
      <c r="F36" s="41"/>
      <c r="G36" s="80">
        <v>711200</v>
      </c>
      <c r="H36" s="80">
        <v>0</v>
      </c>
      <c r="I36" s="90">
        <v>0</v>
      </c>
      <c r="J36" s="90">
        <v>0</v>
      </c>
      <c r="K36" s="90">
        <v>0</v>
      </c>
      <c r="L36" s="40">
        <f>SUM( $I$36:$K$36)</f>
        <v>0</v>
      </c>
      <c r="M36" s="40"/>
      <c r="N36" s="42" t="s">
        <v>102</v>
      </c>
      <c r="O36" s="42"/>
    </row>
    <row r="37" spans="2:15" ht="14.4">
      <c r="B37" s="91"/>
      <c r="C37" s="40"/>
      <c r="D37" s="40" t="s">
        <v>97</v>
      </c>
      <c r="E37" s="41"/>
      <c r="F37" s="41"/>
      <c r="G37" s="80">
        <v>711200</v>
      </c>
      <c r="H37" s="80">
        <v>0</v>
      </c>
      <c r="I37" s="90">
        <v>0</v>
      </c>
      <c r="J37" s="90">
        <v>0</v>
      </c>
      <c r="K37" s="90">
        <v>0</v>
      </c>
      <c r="L37" s="40">
        <f>SUM( $I$37:$K$37)</f>
        <v>0</v>
      </c>
      <c r="M37" s="40"/>
      <c r="N37" s="42" t="s">
        <v>102</v>
      </c>
      <c r="O37" s="42"/>
    </row>
    <row r="38" spans="2:15" ht="14.4">
      <c r="B38" s="91"/>
      <c r="C38" s="40"/>
      <c r="D38" s="40" t="s">
        <v>98</v>
      </c>
      <c r="E38" s="41"/>
      <c r="F38" s="41"/>
      <c r="G38" s="80">
        <v>717000</v>
      </c>
      <c r="H38" s="80">
        <v>0</v>
      </c>
      <c r="I38" s="90">
        <v>0</v>
      </c>
      <c r="J38" s="90">
        <v>0</v>
      </c>
      <c r="K38" s="90">
        <v>0</v>
      </c>
      <c r="L38" s="40">
        <f>SUM( $I$38:$K$38)</f>
        <v>0</v>
      </c>
      <c r="M38" s="40"/>
      <c r="N38" s="42" t="s">
        <v>102</v>
      </c>
      <c r="O38" s="42"/>
    </row>
    <row r="39" spans="2:15" ht="14.4">
      <c r="B39" s="92"/>
      <c r="C39" s="40"/>
      <c r="D39" s="40" t="s">
        <v>99</v>
      </c>
      <c r="E39" s="41"/>
      <c r="F39" s="41"/>
      <c r="G39" s="80">
        <v>711200</v>
      </c>
      <c r="H39" s="80">
        <v>0</v>
      </c>
      <c r="I39" s="90">
        <v>0</v>
      </c>
      <c r="J39" s="90">
        <v>0</v>
      </c>
      <c r="K39" s="90">
        <v>0</v>
      </c>
      <c r="L39" s="40">
        <f>SUM( $I$39:$K$39)</f>
        <v>0</v>
      </c>
      <c r="M39" s="40"/>
      <c r="N39" s="42" t="s">
        <v>102</v>
      </c>
      <c r="O39" s="42"/>
    </row>
    <row r="40" spans="2:15" ht="14.4">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8.95"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05" customHeight="1">
      <c r="B43" s="92"/>
      <c r="C43" s="40"/>
      <c r="D43" s="40" t="s">
        <v>5</v>
      </c>
      <c r="E43" s="41"/>
      <c r="F43" s="41"/>
      <c r="G43" s="80">
        <v>717200</v>
      </c>
      <c r="H43" s="80">
        <v>0</v>
      </c>
      <c r="I43" s="90">
        <v>0</v>
      </c>
      <c r="J43" s="90">
        <v>0</v>
      </c>
      <c r="K43" s="90">
        <v>0</v>
      </c>
      <c r="L43" s="40">
        <f>SUM( $I$43:$K$43)</f>
        <v>0</v>
      </c>
      <c r="M43" s="40"/>
      <c r="N43" s="42" t="s">
        <v>102</v>
      </c>
      <c r="O43" s="42"/>
    </row>
    <row r="44" spans="2:15" ht="31.95" customHeight="1">
      <c r="B44" s="91"/>
      <c r="C44" s="40"/>
      <c r="D44" s="40" t="s">
        <v>6</v>
      </c>
      <c r="E44" s="41"/>
      <c r="F44" s="41"/>
      <c r="G44" s="80">
        <v>722200</v>
      </c>
      <c r="H44" s="80">
        <v>0</v>
      </c>
      <c r="I44" s="90">
        <v>0</v>
      </c>
      <c r="J44" s="90">
        <v>0</v>
      </c>
      <c r="K44" s="90">
        <v>0</v>
      </c>
      <c r="L44" s="40">
        <f>SUM( $I$44:$K$44)</f>
        <v>0</v>
      </c>
      <c r="M44" s="40"/>
      <c r="N44" s="42" t="s">
        <v>102</v>
      </c>
      <c r="O44" s="42"/>
    </row>
    <row r="45" spans="2:15" ht="28.95" customHeight="1">
      <c r="B45" s="91"/>
      <c r="C45" s="40"/>
      <c r="D45" s="40" t="s">
        <v>52</v>
      </c>
      <c r="E45" s="41"/>
      <c r="F45" s="41"/>
      <c r="G45" s="40"/>
      <c r="H45" s="80">
        <v>0</v>
      </c>
      <c r="I45" s="90">
        <v>0</v>
      </c>
      <c r="J45" s="90">
        <v>0</v>
      </c>
      <c r="K45" s="90">
        <v>0</v>
      </c>
      <c r="L45" s="40">
        <f>SUM( $I$45:$K$45)</f>
        <v>0</v>
      </c>
      <c r="M45" s="40"/>
      <c r="N45" s="65" t="s">
        <v>102</v>
      </c>
      <c r="O45" s="42"/>
    </row>
    <row r="46" spans="2:15" ht="14.4">
      <c r="B46" s="91"/>
      <c r="C46" s="40"/>
      <c r="D46" s="40" t="s">
        <v>53</v>
      </c>
      <c r="E46" s="41"/>
      <c r="F46" s="41"/>
      <c r="G46" s="40"/>
      <c r="H46" s="80">
        <v>0</v>
      </c>
      <c r="I46" s="90">
        <v>0</v>
      </c>
      <c r="J46" s="90">
        <v>0</v>
      </c>
      <c r="K46" s="90">
        <v>0</v>
      </c>
      <c r="L46" s="40">
        <f>SUM( $I$46:$K$46)</f>
        <v>0</v>
      </c>
      <c r="M46" s="40"/>
      <c r="N46" s="42" t="s">
        <v>106</v>
      </c>
      <c r="O46" s="42"/>
    </row>
    <row r="47" spans="2:15" ht="28.95"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ht="13.2">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ht="14.4">
      <c r="B49" s="40"/>
      <c r="C49" s="40" t="s">
        <v>77</v>
      </c>
      <c r="D49" s="40"/>
      <c r="E49" s="41"/>
      <c r="F49" s="41"/>
      <c r="G49" s="80"/>
      <c r="H49" s="40">
        <f>H4*H48</f>
        <v>0</v>
      </c>
      <c r="I49" s="40">
        <f>I4*I48</f>
        <v>0</v>
      </c>
      <c r="J49" s="40">
        <f>J4*J48</f>
        <v>0</v>
      </c>
      <c r="K49" s="40">
        <f>K4*K48</f>
        <v>0</v>
      </c>
      <c r="L49" s="40">
        <f>SUM( $I$49:$K$49)</f>
        <v>0</v>
      </c>
      <c r="M49" s="40"/>
      <c r="N49" s="42"/>
      <c r="O49" s="42"/>
    </row>
    <row r="50" spans="2:15" ht="14.4">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F30"/>
  <sheetViews>
    <sheetView showGridLines="0" workbookViewId="0">
      <selection activeCell="K6" sqref="K6"/>
    </sheetView>
  </sheetViews>
  <sheetFormatPr defaultColWidth="8.6640625" defaultRowHeight="12.6"/>
  <cols>
    <col min="1" max="1" width="11.88671875" style="172" customWidth="1"/>
    <col min="2" max="2" width="5.109375" style="172" customWidth="1"/>
    <col min="3" max="6" width="8.6640625" style="172"/>
    <col min="7" max="7" width="7" style="172" customWidth="1"/>
    <col min="8" max="16384" width="8.6640625" style="172"/>
  </cols>
  <sheetData>
    <row r="4" spans="2:6" ht="32.549999999999997" customHeight="1" thickBot="1"/>
    <row r="5" spans="2:6" ht="13.2"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3.2" thickBot="1">
      <c r="B29" s="178"/>
      <c r="C29" s="179"/>
      <c r="D29" s="179"/>
      <c r="E29" s="179"/>
      <c r="F29" s="180"/>
    </row>
    <row r="30" spans="2:6" ht="13.2"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workbookViewId="0">
      <selection activeCell="L14" sqref="L14"/>
    </sheetView>
  </sheetViews>
  <sheetFormatPr defaultColWidth="9" defaultRowHeight="12.6"/>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dimension ref="A1:O18"/>
  <sheetViews>
    <sheetView workbookViewId="0">
      <selection activeCell="F5" sqref="F5"/>
    </sheetView>
  </sheetViews>
  <sheetFormatPr defaultColWidth="5.109375" defaultRowHeight="14.4"/>
  <cols>
    <col min="1" max="1" width="5.109375" style="12" customWidth="1"/>
    <col min="2" max="2" width="5.88671875" style="27" customWidth="1"/>
    <col min="3" max="3" width="3.88671875" style="12" customWidth="1"/>
    <col min="4" max="4" width="26.88671875" style="12" customWidth="1"/>
    <col min="5" max="5" width="10.109375" style="12" customWidth="1"/>
    <col min="6" max="6" width="6.5546875" style="12" customWidth="1"/>
    <col min="7" max="7" width="8.109375" style="12" customWidth="1"/>
    <col min="8" max="8" width="8.109375" style="12" hidden="1" customWidth="1"/>
    <col min="9" max="12" width="11" style="25" customWidth="1"/>
    <col min="13" max="13" width="1.5546875" style="12" customWidth="1"/>
    <col min="14" max="14" width="4.5546875" style="12" customWidth="1"/>
    <col min="15" max="15" width="4.109375" style="12" customWidth="1"/>
    <col min="16" max="16" width="5.109375" style="12" customWidth="1"/>
    <col min="17" max="17" width="5.88671875" style="12" customWidth="1"/>
    <col min="18" max="18" width="3.88671875" style="12" customWidth="1"/>
    <col min="19" max="19" width="26.88671875" style="12" customWidth="1"/>
    <col min="20" max="20" width="10.109375" style="12" customWidth="1"/>
    <col min="21" max="21" width="6.5546875" style="12" customWidth="1"/>
    <col min="22" max="22" width="8.109375" style="12" customWidth="1"/>
    <col min="23" max="24" width="11" style="12" customWidth="1"/>
    <col min="25" max="25" width="1.5546875" style="12" customWidth="1"/>
    <col min="26" max="26" width="4.5546875" style="12" customWidth="1"/>
    <col min="27" max="27" width="4.109375" style="12" customWidth="1"/>
    <col min="28" max="28" width="5.109375" style="12" customWidth="1"/>
    <col min="29" max="29" width="5.88671875" style="12" customWidth="1"/>
    <col min="30" max="30" width="3.88671875" style="12" customWidth="1"/>
    <col min="31" max="31" width="26.88671875" style="12" customWidth="1"/>
    <col min="32" max="32" width="10.109375" style="12" customWidth="1"/>
    <col min="33" max="33" width="6.5546875" style="12" customWidth="1"/>
    <col min="34" max="34" width="8.109375" style="12" customWidth="1"/>
    <col min="35" max="36" width="11" style="12" customWidth="1"/>
    <col min="37" max="37" width="1.5546875" style="12" customWidth="1"/>
    <col min="38" max="38" width="4.5546875" style="12" customWidth="1"/>
    <col min="39" max="39" width="4.109375" style="12" customWidth="1"/>
    <col min="40" max="40" width="5.109375" style="12" customWidth="1"/>
    <col min="41" max="41" width="5.88671875" style="12" customWidth="1"/>
    <col min="42" max="42" width="3.88671875" style="12" customWidth="1"/>
    <col min="43" max="43" width="26.88671875" style="12" customWidth="1"/>
    <col min="44" max="44" width="10.109375" style="12" customWidth="1"/>
    <col min="45" max="45" width="6.5546875" style="12" customWidth="1"/>
    <col min="46" max="46" width="8.109375" style="12" customWidth="1"/>
    <col min="47" max="48" width="11" style="12" customWidth="1"/>
    <col min="49" max="49" width="1.5546875" style="12" customWidth="1"/>
    <col min="50" max="50" width="4.5546875" style="12" customWidth="1"/>
    <col min="51" max="51" width="4.109375" style="12" customWidth="1"/>
    <col min="52" max="52" width="5.109375" style="12" customWidth="1"/>
    <col min="53" max="53" width="5.88671875" style="12" customWidth="1"/>
    <col min="54" max="54" width="3.88671875" style="12" customWidth="1"/>
    <col min="55" max="55" width="26.88671875" style="12" customWidth="1"/>
    <col min="56" max="56" width="10.109375" style="12" customWidth="1"/>
    <col min="57" max="57" width="6.5546875" style="12" customWidth="1"/>
    <col min="58" max="58" width="8.109375" style="12" customWidth="1"/>
    <col min="59" max="60" width="11" style="12" customWidth="1"/>
    <col min="61" max="61" width="1.5546875" style="12" customWidth="1"/>
    <col min="62" max="62" width="4.5546875" style="12" customWidth="1"/>
    <col min="63" max="63" width="4.109375" style="12" customWidth="1"/>
    <col min="64" max="64" width="5.109375" style="12" customWidth="1"/>
    <col min="65" max="65" width="5.88671875" style="12" customWidth="1"/>
    <col min="66" max="66" width="3.88671875" style="12" customWidth="1"/>
    <col min="67" max="67" width="26.88671875" style="12" customWidth="1"/>
    <col min="68" max="68" width="10.109375" style="12" customWidth="1"/>
    <col min="69" max="69" width="6.5546875" style="12" customWidth="1"/>
    <col min="70" max="70" width="8.109375" style="12" customWidth="1"/>
    <col min="71" max="72" width="11" style="12" customWidth="1"/>
    <col min="73" max="73" width="1.5546875" style="12" customWidth="1"/>
    <col min="74" max="74" width="4.5546875" style="12" customWidth="1"/>
    <col min="75" max="75" width="4.109375" style="12" customWidth="1"/>
    <col min="76" max="76" width="5.109375" style="12" customWidth="1"/>
    <col min="77" max="77" width="5.88671875" style="12" customWidth="1"/>
    <col min="78" max="78" width="3.88671875" style="12" customWidth="1"/>
    <col min="79" max="79" width="26.88671875" style="12" customWidth="1"/>
    <col min="80" max="80" width="10.109375" style="12" customWidth="1"/>
    <col min="81" max="81" width="6.5546875" style="12" customWidth="1"/>
    <col min="82" max="82" width="8.109375" style="12" customWidth="1"/>
    <col min="83" max="84" width="11" style="12" customWidth="1"/>
    <col min="85" max="85" width="1.5546875" style="12" customWidth="1"/>
    <col min="86" max="86" width="4.5546875" style="12" customWidth="1"/>
    <col min="87" max="87" width="4.109375" style="12" customWidth="1"/>
    <col min="88" max="88" width="5.109375" style="12" customWidth="1"/>
    <col min="89" max="89" width="5.88671875" style="12" customWidth="1"/>
    <col min="90" max="90" width="3.88671875" style="12" customWidth="1"/>
    <col min="91" max="91" width="26.88671875" style="12" customWidth="1"/>
    <col min="92" max="92" width="10.109375" style="12" customWidth="1"/>
    <col min="93" max="93" width="6.5546875" style="12" customWidth="1"/>
    <col min="94" max="94" width="8.109375" style="12" customWidth="1"/>
    <col min="95" max="96" width="11" style="12" customWidth="1"/>
    <col min="97" max="97" width="1.5546875" style="12" customWidth="1"/>
    <col min="98" max="98" width="4.5546875" style="12" customWidth="1"/>
    <col min="99" max="99" width="4.109375" style="12" customWidth="1"/>
    <col min="100" max="100" width="5.109375" style="12" customWidth="1"/>
    <col min="101" max="101" width="5.88671875" style="12" customWidth="1"/>
    <col min="102" max="102" width="3.88671875" style="12" customWidth="1"/>
    <col min="103" max="103" width="26.88671875" style="12" customWidth="1"/>
    <col min="104" max="104" width="10.109375" style="12" customWidth="1"/>
    <col min="105" max="105" width="6.5546875" style="12" customWidth="1"/>
    <col min="106" max="106" width="8.109375" style="12" customWidth="1"/>
    <col min="107" max="108" width="11" style="12" customWidth="1"/>
    <col min="109" max="109" width="1.5546875" style="12" customWidth="1"/>
    <col min="110" max="110" width="4.5546875" style="12" customWidth="1"/>
    <col min="111" max="111" width="4.109375" style="12" customWidth="1"/>
    <col min="112" max="112" width="5.109375" style="12" customWidth="1"/>
    <col min="113" max="113" width="5.88671875" style="12" customWidth="1"/>
    <col min="114" max="114" width="3.88671875" style="12" customWidth="1"/>
    <col min="115" max="115" width="26.88671875" style="12" customWidth="1"/>
    <col min="116" max="116" width="10.109375" style="12" customWidth="1"/>
    <col min="117" max="117" width="6.5546875" style="12" customWidth="1"/>
    <col min="118" max="118" width="8.109375" style="12" customWidth="1"/>
    <col min="119" max="120" width="11" style="12" customWidth="1"/>
    <col min="121" max="121" width="1.5546875" style="12" customWidth="1"/>
    <col min="122" max="122" width="4.5546875" style="12" customWidth="1"/>
    <col min="123" max="123" width="4.109375" style="12" customWidth="1"/>
    <col min="124" max="124" width="5.109375" style="12" customWidth="1"/>
    <col min="125" max="125" width="5.88671875" style="12" customWidth="1"/>
    <col min="126" max="126" width="3.88671875" style="12" customWidth="1"/>
    <col min="127" max="127" width="26.88671875" style="12" customWidth="1"/>
    <col min="128" max="128" width="10.109375" style="12" customWidth="1"/>
    <col min="129" max="129" width="6.5546875" style="12" customWidth="1"/>
    <col min="130" max="130" width="8.109375" style="12" customWidth="1"/>
    <col min="131" max="132" width="11" style="12" customWidth="1"/>
    <col min="133" max="133" width="1.5546875" style="12" customWidth="1"/>
    <col min="134" max="134" width="4.5546875" style="12" customWidth="1"/>
    <col min="135" max="135" width="4.109375" style="12" customWidth="1"/>
    <col min="136" max="136" width="5.109375" style="12" customWidth="1"/>
    <col min="137" max="137" width="5.88671875" style="12" customWidth="1"/>
    <col min="138" max="138" width="3.88671875" style="12" customWidth="1"/>
    <col min="139" max="139" width="26.88671875" style="12" customWidth="1"/>
    <col min="140" max="140" width="10.109375" style="12" customWidth="1"/>
    <col min="141" max="141" width="6.5546875" style="12" customWidth="1"/>
    <col min="142" max="142" width="8.109375" style="12" customWidth="1"/>
    <col min="143" max="144" width="11" style="12" customWidth="1"/>
    <col min="145" max="145" width="1.5546875" style="12" customWidth="1"/>
    <col min="146" max="146" width="4.5546875" style="12" customWidth="1"/>
    <col min="147" max="147" width="4.109375" style="12" customWidth="1"/>
    <col min="148" max="148" width="5.109375" style="12" customWidth="1"/>
    <col min="149" max="149" width="5.88671875" style="12" customWidth="1"/>
    <col min="150" max="150" width="3.88671875" style="12" customWidth="1"/>
    <col min="151" max="151" width="26.88671875" style="12" customWidth="1"/>
    <col min="152" max="152" width="10.109375" style="12" customWidth="1"/>
    <col min="153" max="153" width="6.5546875" style="12" customWidth="1"/>
    <col min="154" max="154" width="8.109375" style="12" customWidth="1"/>
    <col min="155" max="156" width="11" style="12" customWidth="1"/>
    <col min="157" max="157" width="1.5546875" style="12" customWidth="1"/>
    <col min="158" max="158" width="4.5546875" style="12" customWidth="1"/>
    <col min="159" max="159" width="4.109375" style="12" customWidth="1"/>
    <col min="160" max="160" width="5.109375" style="12" customWidth="1"/>
    <col min="161" max="161" width="5.88671875" style="12" customWidth="1"/>
    <col min="162" max="162" width="3.88671875" style="12" customWidth="1"/>
    <col min="163" max="163" width="26.88671875" style="12" customWidth="1"/>
    <col min="164" max="164" width="10.109375" style="12" customWidth="1"/>
    <col min="165" max="165" width="6.5546875" style="12" customWidth="1"/>
    <col min="166" max="166" width="8.109375" style="12" customWidth="1"/>
    <col min="167" max="168" width="11" style="12" customWidth="1"/>
    <col min="169" max="169" width="1.5546875" style="12" customWidth="1"/>
    <col min="170" max="170" width="4.5546875" style="12" customWidth="1"/>
    <col min="171" max="171" width="4.109375" style="12" customWidth="1"/>
    <col min="172" max="172" width="5.109375" style="12" customWidth="1"/>
    <col min="173" max="173" width="5.88671875" style="12" customWidth="1"/>
    <col min="174" max="174" width="3.88671875" style="12" customWidth="1"/>
    <col min="175" max="175" width="26.88671875" style="12" customWidth="1"/>
    <col min="176" max="176" width="10.109375" style="12" customWidth="1"/>
    <col min="177" max="177" width="6.5546875" style="12" customWidth="1"/>
    <col min="178" max="178" width="8.109375" style="12" customWidth="1"/>
    <col min="179" max="180" width="11" style="12" customWidth="1"/>
    <col min="181" max="181" width="1.5546875" style="12" customWidth="1"/>
    <col min="182" max="182" width="4.5546875" style="12" customWidth="1"/>
    <col min="183" max="183" width="4.109375" style="12" customWidth="1"/>
    <col min="184" max="184" width="5.109375" style="12" customWidth="1"/>
    <col min="185" max="185" width="5.88671875" style="12" customWidth="1"/>
    <col min="186" max="186" width="3.88671875" style="12" customWidth="1"/>
    <col min="187" max="187" width="26.88671875" style="12" customWidth="1"/>
    <col min="188" max="188" width="10.109375" style="12" customWidth="1"/>
    <col min="189" max="189" width="6.5546875" style="12" customWidth="1"/>
    <col min="190" max="190" width="8.109375" style="12" customWidth="1"/>
    <col min="191" max="192" width="11" style="12" customWidth="1"/>
    <col min="193" max="193" width="1.5546875" style="12" customWidth="1"/>
    <col min="194" max="194" width="4.5546875" style="12" customWidth="1"/>
    <col min="195" max="195" width="4.109375" style="12" customWidth="1"/>
    <col min="196" max="196" width="5.109375" style="12" customWidth="1"/>
    <col min="197" max="197" width="5.88671875" style="12" customWidth="1"/>
    <col min="198" max="198" width="3.88671875" style="12" customWidth="1"/>
    <col min="199" max="199" width="26.88671875" style="12" customWidth="1"/>
    <col min="200" max="200" width="10.109375" style="12" customWidth="1"/>
    <col min="201" max="201" width="6.5546875" style="12" customWidth="1"/>
    <col min="202" max="202" width="8.109375" style="12" customWidth="1"/>
    <col min="203" max="204" width="11" style="12" customWidth="1"/>
    <col min="205" max="205" width="1.5546875" style="12" customWidth="1"/>
    <col min="206" max="206" width="4.5546875" style="12" customWidth="1"/>
    <col min="207" max="207" width="4.109375" style="12" customWidth="1"/>
    <col min="208" max="208" width="5.109375" style="12" customWidth="1"/>
    <col min="209" max="209" width="5.88671875" style="12" customWidth="1"/>
    <col min="210" max="210" width="3.88671875" style="12" customWidth="1"/>
    <col min="211" max="211" width="26.88671875" style="12" customWidth="1"/>
    <col min="212" max="212" width="10.109375" style="12" customWidth="1"/>
    <col min="213" max="213" width="6.5546875" style="12" customWidth="1"/>
    <col min="214" max="214" width="8.109375" style="12" customWidth="1"/>
    <col min="215" max="216" width="11" style="12" customWidth="1"/>
    <col min="217" max="217" width="1.5546875" style="12" customWidth="1"/>
    <col min="218" max="218" width="4.5546875" style="12" customWidth="1"/>
    <col min="219" max="219" width="4.109375" style="12" customWidth="1"/>
    <col min="220" max="220" width="5.109375" style="12" customWidth="1"/>
    <col min="221" max="221" width="5.88671875" style="12" customWidth="1"/>
    <col min="222" max="222" width="3.88671875" style="12" customWidth="1"/>
    <col min="223" max="223" width="26.88671875" style="12" customWidth="1"/>
    <col min="224" max="224" width="10.109375" style="12" customWidth="1"/>
    <col min="225" max="225" width="6.5546875" style="12" customWidth="1"/>
    <col min="226" max="226" width="8.109375" style="12" customWidth="1"/>
    <col min="227" max="228" width="11" style="12" customWidth="1"/>
    <col min="229" max="229" width="1.5546875" style="12" customWidth="1"/>
    <col min="230" max="230" width="4.5546875" style="12" customWidth="1"/>
    <col min="231" max="231" width="4.109375" style="12" customWidth="1"/>
    <col min="232" max="232" width="5.109375" style="12" customWidth="1"/>
    <col min="233" max="233" width="5.88671875" style="12" customWidth="1"/>
    <col min="234" max="234" width="3.88671875" style="12" customWidth="1"/>
    <col min="235" max="235" width="26.88671875" style="12" customWidth="1"/>
    <col min="236" max="236" width="10.109375" style="12" customWidth="1"/>
    <col min="237" max="237" width="6.5546875" style="12" customWidth="1"/>
    <col min="238" max="238" width="8.109375" style="12" customWidth="1"/>
    <col min="239" max="240" width="11" style="12" customWidth="1"/>
    <col min="241" max="241" width="1.5546875" style="12" customWidth="1"/>
    <col min="242" max="242" width="4.5546875" style="12" customWidth="1"/>
    <col min="243" max="243" width="4.109375" style="12" customWidth="1"/>
    <col min="244" max="244" width="5.109375" style="12" customWidth="1"/>
    <col min="245" max="245" width="5.88671875" style="12" customWidth="1"/>
    <col min="246" max="246" width="3.88671875" style="12" customWidth="1"/>
    <col min="247" max="247" width="26.88671875" style="12" customWidth="1"/>
    <col min="248" max="248" width="10.109375" style="12" customWidth="1"/>
    <col min="249" max="249" width="6.5546875" style="12" customWidth="1"/>
    <col min="250" max="250" width="8.109375" style="12" customWidth="1"/>
    <col min="251" max="252" width="11" style="12" customWidth="1"/>
    <col min="253" max="253" width="1.5546875" style="12" customWidth="1"/>
    <col min="254" max="254" width="4.5546875" style="12" customWidth="1"/>
    <col min="255" max="255" width="4.109375" style="12" customWidth="1"/>
    <col min="256" max="16384" width="5.10937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8.95"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dimension ref="A1:H51"/>
  <sheetViews>
    <sheetView topLeftCell="A22" workbookViewId="0">
      <selection activeCell="J24" sqref="J24"/>
    </sheetView>
  </sheetViews>
  <sheetFormatPr defaultColWidth="11" defaultRowHeight="14.4"/>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dimension ref="A1:B41"/>
  <sheetViews>
    <sheetView workbookViewId="0">
      <selection activeCell="A3" sqref="A3"/>
    </sheetView>
  </sheetViews>
  <sheetFormatPr defaultColWidth="13" defaultRowHeight="14.4"/>
  <cols>
    <col min="1" max="1" width="38.5546875" style="12" bestFit="1" customWidth="1"/>
    <col min="2" max="2" width="39.10937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8.8">
      <c r="A4" s="13" t="s">
        <v>110</v>
      </c>
      <c r="B4" s="11" t="s">
        <v>114</v>
      </c>
    </row>
    <row r="5" spans="1:2" ht="28.8">
      <c r="A5" s="13" t="s">
        <v>115</v>
      </c>
      <c r="B5" s="11" t="s">
        <v>117</v>
      </c>
    </row>
    <row r="6" spans="1:2" ht="28.8">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2.95"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2.95"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2.95" customHeight="1">
      <c r="A24" s="10" t="s">
        <v>38</v>
      </c>
    </row>
    <row r="25" spans="1:1">
      <c r="A25" s="12" t="s">
        <v>138</v>
      </c>
    </row>
    <row r="26" spans="1:1">
      <c r="A26" s="12" t="s">
        <v>139</v>
      </c>
    </row>
    <row r="27" spans="1:1">
      <c r="A27" s="12" t="s">
        <v>140</v>
      </c>
    </row>
    <row r="28" spans="1:1">
      <c r="A28" s="12" t="s">
        <v>40</v>
      </c>
    </row>
    <row r="29" spans="1:1" ht="22.95" customHeight="1">
      <c r="A29" s="10" t="s">
        <v>43</v>
      </c>
    </row>
    <row r="30" spans="1:1">
      <c r="A30" s="12" t="s">
        <v>44</v>
      </c>
    </row>
    <row r="31" spans="1:1">
      <c r="A31" s="12" t="s">
        <v>45</v>
      </c>
    </row>
    <row r="32" spans="1:1" ht="22.95" customHeight="1">
      <c r="A32" s="10" t="s">
        <v>153</v>
      </c>
    </row>
    <row r="33" spans="1:1">
      <c r="A33" s="12" t="s">
        <v>102</v>
      </c>
    </row>
    <row r="34" spans="1:1">
      <c r="A34" s="12" t="s">
        <v>106</v>
      </c>
    </row>
    <row r="35" spans="1:1" ht="22.95" customHeight="1">
      <c r="A35" s="17" t="s">
        <v>155</v>
      </c>
    </row>
    <row r="36" spans="1:1">
      <c r="A36" s="12" t="s">
        <v>159</v>
      </c>
    </row>
    <row r="37" spans="1:1">
      <c r="A37" s="12" t="s">
        <v>154</v>
      </c>
    </row>
    <row r="38" spans="1:1" ht="22.95"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0"/>
  <sheetViews>
    <sheetView workbookViewId="0"/>
  </sheetViews>
  <sheetFormatPr defaultColWidth="8.6640625" defaultRowHeight="12.6"/>
  <cols>
    <col min="1" max="1" width="13.5546875" bestFit="1" customWidth="1"/>
    <col min="2" max="2" width="12.44140625" style="164" customWidth="1"/>
    <col min="3" max="3" width="45.5546875" style="163" customWidth="1"/>
  </cols>
  <sheetData>
    <row r="1" spans="1:3" ht="25.2">
      <c r="A1" t="str">
        <f>VersionNo</f>
        <v>PropBud v1.14</v>
      </c>
      <c r="B1" s="164">
        <v>41781</v>
      </c>
      <c r="C1" s="163" t="s">
        <v>185</v>
      </c>
    </row>
    <row r="2" spans="1:3" ht="16.95"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75.599999999999994">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7.799999999999997">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97</vt:i4>
      </vt:variant>
    </vt:vector>
  </HeadingPairs>
  <TitlesOfParts>
    <vt:vector size="108"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lpstr>AppointmentList</vt:lpstr>
      <vt:lpstr>AYFacultyBlock</vt:lpstr>
      <vt:lpstr>BudItemCol</vt:lpstr>
      <vt:lpstr>CostShareCopyRange</vt:lpstr>
      <vt:lpstr>CShrBlockEndRow</vt:lpstr>
      <vt:lpstr>CShrBlockPrdCol</vt:lpstr>
      <vt:lpstr>CShrBlockRange</vt:lpstr>
      <vt:lpstr>CShrBlockStartRow</vt:lpstr>
      <vt:lpstr>CShrBlockTotPrdCol</vt:lpstr>
      <vt:lpstr>CstShrShtTotPrdCol</vt:lpstr>
      <vt:lpstr>CstShrShtTotRow</vt:lpstr>
      <vt:lpstr>CYFacultyBlock</vt:lpstr>
      <vt:lpstr>DefaultInflationRow</vt:lpstr>
      <vt:lpstr>EquipmentRow</vt:lpstr>
      <vt:lpstr>FacInflationPct</vt:lpstr>
      <vt:lpstr>FBRateTypeList</vt:lpstr>
      <vt:lpstr>FFRtRow</vt:lpstr>
      <vt:lpstr>IDCBasisList</vt:lpstr>
      <vt:lpstr>IDCRateList</vt:lpstr>
      <vt:lpstr>IDCRtRow</vt:lpstr>
      <vt:lpstr>InBaseCol</vt:lpstr>
      <vt:lpstr>InBaseList</vt:lpstr>
      <vt:lpstr>InflationEntryCol</vt:lpstr>
      <vt:lpstr>InflationModeCol</vt:lpstr>
      <vt:lpstr>InflationModeList</vt:lpstr>
      <vt:lpstr>LockStructureList</vt:lpstr>
      <vt:lpstr>NumBudPrds</vt:lpstr>
      <vt:lpstr>NumCoPIAY</vt:lpstr>
      <vt:lpstr>NumCoPICY</vt:lpstr>
      <vt:lpstr>NumFacAY</vt:lpstr>
      <vt:lpstr>NumFacCY</vt:lpstr>
      <vt:lpstr>OtherExemptRow</vt:lpstr>
      <vt:lpstr>PartSupportRow</vt:lpstr>
      <vt:lpstr>PDRtRow</vt:lpstr>
      <vt:lpstr>PFRtRow</vt:lpstr>
      <vt:lpstr>PgmIncShtTotPrdCol</vt:lpstr>
      <vt:lpstr>PgmIncShtTotRow</vt:lpstr>
      <vt:lpstr>PIAppt</vt:lpstr>
      <vt:lpstr>PIName</vt:lpstr>
      <vt:lpstr>PrdCol</vt:lpstr>
      <vt:lpstr>PrdHdrRow</vt:lpstr>
      <vt:lpstr>PrdStartDtRow</vt:lpstr>
      <vt:lpstr>RatesEndDtCol</vt:lpstr>
      <vt:lpstr>RatesFBStartRow</vt:lpstr>
      <vt:lpstr>RatesFFCOL</vt:lpstr>
      <vt:lpstr>RatesIDCStartRow</vt:lpstr>
      <vt:lpstr>RatesPDCOL</vt:lpstr>
      <vt:lpstr>RatesPFCOL</vt:lpstr>
      <vt:lpstr>RatesStartDtCol</vt:lpstr>
      <vt:lpstr>RatesUINSOFCol</vt:lpstr>
      <vt:lpstr>RatesUINSONCol</vt:lpstr>
      <vt:lpstr>RatesUOTHOFCol</vt:lpstr>
      <vt:lpstr>RatesUOTHONCol</vt:lpstr>
      <vt:lpstr>RatesURESOFCol</vt:lpstr>
      <vt:lpstr>RatesURESONCol</vt:lpstr>
      <vt:lpstr>SetupDefaultInflationRt</vt:lpstr>
      <vt:lpstr>SetupFlatRate</vt:lpstr>
      <vt:lpstr>SetupIDCBasis</vt:lpstr>
      <vt:lpstr>SetupLockCell</vt:lpstr>
      <vt:lpstr>SetupMaintenanceCell</vt:lpstr>
      <vt:lpstr>SetupNegotiatedRate</vt:lpstr>
      <vt:lpstr>SetupStartDt</vt:lpstr>
      <vt:lpstr>SponCstShrTotRow</vt:lpstr>
      <vt:lpstr>SponPgmIncTotRow</vt:lpstr>
      <vt:lpstr>StartFacRow</vt:lpstr>
      <vt:lpstr>SubIDCList</vt:lpstr>
      <vt:lpstr>SubsApplyIDCRow</vt:lpstr>
      <vt:lpstr>SubsDCTotRow</vt:lpstr>
      <vt:lpstr>SubsDirectCostStartRow</vt:lpstr>
      <vt:lpstr>SubsExemptIDCRow</vt:lpstr>
      <vt:lpstr>SubsIDCCapCol</vt:lpstr>
      <vt:lpstr>SubsIDCCapRange</vt:lpstr>
      <vt:lpstr>SubsIDCRtRow</vt:lpstr>
      <vt:lpstr>SubsIDCStartRow</vt:lpstr>
      <vt:lpstr>SubsIDCTotRow</vt:lpstr>
      <vt:lpstr>SubsInBaseRow</vt:lpstr>
      <vt:lpstr>SubsNotInBaseRow</vt:lpstr>
      <vt:lpstr>SubsNotInBaseTotRow</vt:lpstr>
      <vt:lpstr>SubsPrdCol</vt:lpstr>
      <vt:lpstr>SubsRemainingInBaseRow</vt:lpstr>
      <vt:lpstr>SubsRemainingInBaseTotRow</vt:lpstr>
      <vt:lpstr>SubsTotPrdCol</vt:lpstr>
      <vt:lpstr>SubTotGrad</vt:lpstr>
      <vt:lpstr>SubTotSubs</vt:lpstr>
      <vt:lpstr>TotDirect</vt:lpstr>
      <vt:lpstr>TotFacRow</vt:lpstr>
      <vt:lpstr>TotIDC</vt:lpstr>
      <vt:lpstr>TotPrdCol</vt:lpstr>
      <vt:lpstr>TotProjRow</vt:lpstr>
      <vt:lpstr>TotSal</vt:lpstr>
      <vt:lpstr>TotSalFB</vt:lpstr>
      <vt:lpstr>TotSponsor</vt:lpstr>
      <vt:lpstr>TravelRow</vt:lpstr>
      <vt:lpstr>TuitionRow</vt:lpstr>
      <vt:lpstr>VersionNo</vt:lpstr>
      <vt:lpstr>WorkbookMaintenanceList</vt:lpstr>
      <vt:lpstr>ZeroPrdCol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Norman, Noreen</cp:lastModifiedBy>
  <cp:lastPrinted>2014-09-25T18:23:49Z</cp:lastPrinted>
  <dcterms:created xsi:type="dcterms:W3CDTF">1999-04-07T14:50:22Z</dcterms:created>
  <dcterms:modified xsi:type="dcterms:W3CDTF">2014-09-25T18:41:42Z</dcterms:modified>
</cp:coreProperties>
</file>