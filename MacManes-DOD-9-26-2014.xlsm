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52620" yWindow="4600" windowWidth="28860" windowHeight="2620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12" i="12" l="1"/>
  <c r="H47" i="6"/>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<sst xmlns="http://schemas.openxmlformats.org/spreadsheetml/2006/main" count="551" uniqueCount="197">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</sst>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9">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9">
    <cellStyle name="Comma" xfId="1" builtinId="3"/>
    <cellStyle name="Followed Hyperlink" xfId="6" builtinId="9" hidden="1"/>
    <cellStyle name="Followed Hyperlink" xfId="8" builtinId="9" hidden="1"/>
    <cellStyle name="Hyperlink" xfId="5" builtinId="8" hidden="1"/>
    <cellStyle name="Hyperlink" xfId="7"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8</xdr:row>
          <xdr:rowOff>431800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pageSetUpPr fitToPage="1"/>
  </sheetPr>
  <dimension ref="A1:P59"/>
  <sheetViews>
    <sheetView tabSelected="1" topLeftCell="G28" zoomScale="200" zoomScaleNormal="200" zoomScalePageLayoutView="200" workbookViewId="0">
      <selection activeCell="J34" sqref="J34"/>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6">
      <c r="A12" s="6" t="s">
        <v>110</v>
      </c>
      <c r="B12" s="38">
        <f t="shared" si="0"/>
        <v>0.03</v>
      </c>
      <c r="C12" s="3"/>
      <c r="D12" s="34"/>
      <c r="E12" s="154"/>
      <c r="F12" s="33">
        <v>2</v>
      </c>
      <c r="G12" s="24" t="s">
        <v>62</v>
      </c>
      <c r="H12" s="7">
        <f>$E11/9*$F12</f>
        <v>16855.555555555555</v>
      </c>
      <c r="I12" s="90">
        <f>H12*(1+$B12)</f>
        <v>17361.222222222223</v>
      </c>
      <c r="J12" s="90">
        <f t="shared" si="1"/>
        <v>17882.058888888889</v>
      </c>
      <c r="K12" s="90">
        <f t="shared" si="1"/>
        <v>18418.520655555556</v>
      </c>
      <c r="L12" s="8">
        <f>SUM( $I$12:$K$12)</f>
        <v>53661.801766666664</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v>4500</v>
      </c>
      <c r="J27" s="32">
        <f t="shared" si="2"/>
        <v>4634.9999969825149</v>
      </c>
      <c r="K27" s="32">
        <f t="shared" si="2"/>
        <v>4774.0499937839804</v>
      </c>
      <c r="L27" s="71">
        <f>SUM( $I$27:$K$27)</f>
        <v>13909.049990766496</v>
      </c>
      <c r="N27" s="72" t="s">
        <v>102</v>
      </c>
      <c r="O27" s="72" t="s">
        <v>88</v>
      </c>
      <c r="P27" s="160"/>
    </row>
    <row r="28" spans="1:16">
      <c r="A28" s="73"/>
      <c r="B28" s="73"/>
      <c r="C28" s="74"/>
      <c r="D28" s="70" t="s">
        <v>147</v>
      </c>
      <c r="E28" s="71"/>
      <c r="F28" s="71"/>
      <c r="G28" s="75" t="s">
        <v>20</v>
      </c>
      <c r="H28" s="75">
        <v>0</v>
      </c>
      <c r="I28" s="32">
        <v>0</v>
      </c>
      <c r="J28" s="32">
        <f t="shared" si="2"/>
        <v>0</v>
      </c>
      <c r="K28" s="32">
        <f t="shared" si="2"/>
        <v>0</v>
      </c>
      <c r="L28" s="71">
        <f>SUM( $I$28:$K$28)</f>
        <v>0</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2222.3140990692709</v>
      </c>
      <c r="J30" s="71">
        <f>(SUMIF($O10:$O28,"FF",J10:J28)*J5) + (SUMIF($O10:$O28,"PF",J10:J28)*J6) + (SUMIF($O10:$O28,"PD",J10:J28)*J7)</f>
        <v>2288.9835214475747</v>
      </c>
      <c r="K30" s="71">
        <f>(SUMIF($O10:$O28,"FF",K10:K28)*K5) + (SUMIF($O10:$O28,"PF",K10:K28)*K6) + (SUMIF($O10:$O28,"PD",K10:K28)*K7)</f>
        <v>2357.6530264794151</v>
      </c>
      <c r="L30" s="81">
        <f>SUM( $I$30:$K$30)</f>
        <v>6868.9506469962598</v>
      </c>
      <c r="N30" s="42" t="s">
        <v>102</v>
      </c>
    </row>
    <row r="31" spans="1:16" ht="26.25" customHeight="1">
      <c r="A31" s="47"/>
      <c r="B31" s="47"/>
      <c r="C31" s="48"/>
      <c r="D31" s="66" t="s">
        <v>71</v>
      </c>
      <c r="E31" s="49"/>
      <c r="F31" s="49"/>
      <c r="G31" s="48"/>
      <c r="H31" s="48"/>
      <c r="I31" s="48">
        <f>SUM(I29+I30)</f>
        <v>31083.536321291493</v>
      </c>
      <c r="J31" s="48">
        <f>SUM(J29+J30)</f>
        <v>32016.042402625113</v>
      </c>
      <c r="K31" s="48">
        <f>SUM(K29+K30)</f>
        <v>50571.523666149587</v>
      </c>
      <c r="L31" s="48">
        <f>SUM( $I$31:$K$31)</f>
        <v>113671.1023900662</v>
      </c>
      <c r="M31" s="48"/>
      <c r="N31" s="53"/>
      <c r="O31" s="53"/>
      <c r="P31" s="157"/>
    </row>
    <row r="32" spans="1:16">
      <c r="A32" s="39" t="s">
        <v>105</v>
      </c>
      <c r="B32" s="39"/>
      <c r="C32" s="40" t="s">
        <v>72</v>
      </c>
      <c r="G32" s="80">
        <v>721100</v>
      </c>
      <c r="H32" s="80">
        <v>0</v>
      </c>
      <c r="I32" s="90">
        <v>0</v>
      </c>
      <c r="J32" s="90">
        <v>0</v>
      </c>
      <c r="K32" s="90">
        <v>5456</v>
      </c>
      <c r="L32" s="40">
        <f>SUM( $I$32:$K$32)</f>
        <v>5456</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c r="J34" s="90">
        <v>2500</v>
      </c>
      <c r="K34" s="90">
        <v>2500</v>
      </c>
      <c r="L34" s="40">
        <f>SUM( $I$34:$K$34)</f>
        <v>5000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63500</v>
      </c>
      <c r="J36" s="90">
        <v>58500</v>
      </c>
      <c r="K36" s="90">
        <v>37000</v>
      </c>
      <c r="L36" s="40">
        <f>SUM( $I$36:$K$36)</f>
        <v>159000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94583.536321291496</v>
      </c>
      <c r="J47" s="48">
        <f>SUM(J31:J41,J43:J46)</f>
        <v>94816.042402625113</v>
      </c>
      <c r="K47" s="48">
        <f>SUM(K31:K41,K43:K46)</f>
        <v>97327.523666149587</v>
      </c>
      <c r="L47" s="48">
        <f>SUM( $I$47:$K$47)</f>
        <v>286727.1023900662</v>
      </c>
      <c r="M47" s="48"/>
      <c r="N47" s="53"/>
      <c r="O47" s="53"/>
      <c r="P47" s="157"/>
    </row>
    <row r="48" spans="1:16" s="108" customFormat="1" ht="15.75" customHeight="1">
      <c r="D48" s="108" t="s">
        <v>11</v>
      </c>
      <c r="E48" s="109"/>
      <c r="F48" s="109"/>
      <c r="H48" s="108">
        <f>SUMIF($N$10:$N$46,"Y",H10:H46)</f>
        <v>16855.555555555555</v>
      </c>
      <c r="I48" s="108">
        <f>SUMIF($N$10:$N$46,"Y",I10:I46)</f>
        <v>94583.536321291496</v>
      </c>
      <c r="J48" s="108">
        <f>SUMIF($N$10:$N$46,"Y",J10:J46)</f>
        <v>94816.042402625113</v>
      </c>
      <c r="K48" s="108">
        <f>SUMIF($N$10:$N$46,"Y",K10:K46)</f>
        <v>91871.523666149587</v>
      </c>
      <c r="L48" s="108">
        <f>SUM( $I$48:$K$48)</f>
        <v>281271.1023900662</v>
      </c>
      <c r="N48" s="109"/>
      <c r="O48" s="109"/>
      <c r="P48" s="162"/>
    </row>
    <row r="49" spans="1:16" ht="28" customHeight="1">
      <c r="C49" s="40" t="s">
        <v>77</v>
      </c>
      <c r="G49" s="80"/>
      <c r="H49" s="40">
        <f>H4*H48</f>
        <v>0</v>
      </c>
      <c r="I49" s="40">
        <f>I4*I48</f>
        <v>44927.179188851653</v>
      </c>
      <c r="J49" s="40">
        <f>J4*J48</f>
        <v>45037.619576099278</v>
      </c>
      <c r="K49" s="40">
        <f>K4*K48</f>
        <v>43638.973193824102</v>
      </c>
      <c r="L49" s="40">
        <f>SUM( $I$49:$K$49)</f>
        <v>133603.77195877503</v>
      </c>
    </row>
    <row r="50" spans="1:16" ht="32" customHeight="1">
      <c r="A50" s="48"/>
      <c r="B50" s="48"/>
      <c r="C50" s="48"/>
      <c r="D50" s="48" t="s">
        <v>12</v>
      </c>
      <c r="E50" s="49"/>
      <c r="F50" s="49"/>
      <c r="G50" s="48"/>
      <c r="H50" s="48">
        <f>SUM(H49+H47)</f>
        <v>0</v>
      </c>
      <c r="I50" s="48">
        <f>SUM(I49+I47)</f>
        <v>139510.71551014314</v>
      </c>
      <c r="J50" s="48">
        <f>SUM(J49+J47)</f>
        <v>139853.66197872438</v>
      </c>
      <c r="K50" s="48">
        <f>SUM(K49+K47)</f>
        <v>140966.4968599737</v>
      </c>
      <c r="L50" s="48">
        <f>SUM( $I$50:$K$50)</f>
        <v>420330.8743488412</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139510.71551014314</v>
      </c>
      <c r="J53" s="48">
        <f>SUM(J52+J51+J50)</f>
        <v>139853.66197872438</v>
      </c>
      <c r="K53" s="48">
        <f>SUM(K52+K51+K50)</f>
        <v>140966.4968599737</v>
      </c>
      <c r="L53" s="48">
        <f>SUM( $I$53:$K$53)</f>
        <v>420330.8743488412</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scale="64" orientation="portrait" horizontalDpi="2400" verticalDpi="2400"/>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2014-09-25T18:23:49Z</cp:lastPrinted>
  <dcterms:created xsi:type="dcterms:W3CDTF">1999-04-07T14:50:22Z</dcterms:created>
  <dcterms:modified xsi:type="dcterms:W3CDTF">2014-09-26T12:12:00Z</dcterms:modified>
</cp:coreProperties>
</file>